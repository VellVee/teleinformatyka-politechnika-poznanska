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72" windowWidth="22008" windowHeight="9504" activeTab="2"/>
  </bookViews>
  <sheets>
    <sheet name="Arkusz1" sheetId="1" r:id="rId1"/>
    <sheet name="Arkusz2" sheetId="2" r:id="rId2"/>
    <sheet name="Arkusz3" sheetId="3" r:id="rId3"/>
  </sheets>
  <calcPr calcId="124519"/>
  <fileRecoveryPr repairLoad="1"/>
</workbook>
</file>

<file path=xl/calcChain.xml><?xml version="1.0" encoding="utf-8"?>
<calcChain xmlns="http://schemas.openxmlformats.org/spreadsheetml/2006/main">
  <c r="Q4" i="3"/>
  <c r="Q5"/>
  <c r="Q6"/>
  <c r="Q7"/>
  <c r="Q8"/>
  <c r="Q9"/>
  <c r="Q10"/>
  <c r="Q11"/>
  <c r="Q12"/>
  <c r="Q13"/>
  <c r="Q14"/>
  <c r="Q15"/>
  <c r="Q16"/>
  <c r="Q17"/>
  <c r="Q18"/>
  <c r="Q3"/>
  <c r="D41"/>
  <c r="D40"/>
  <c r="D39"/>
  <c r="D38"/>
  <c r="D37"/>
  <c r="D36"/>
  <c r="D35"/>
  <c r="D34"/>
  <c r="D33"/>
  <c r="D32"/>
  <c r="D31"/>
  <c r="D30"/>
  <c r="D29"/>
  <c r="D28"/>
  <c r="D27"/>
  <c r="D26"/>
  <c r="L18"/>
  <c r="K18"/>
  <c r="L17"/>
  <c r="K17"/>
  <c r="L16"/>
  <c r="K16"/>
  <c r="K15"/>
  <c r="L15" s="1"/>
  <c r="L14"/>
  <c r="K14"/>
  <c r="L13"/>
  <c r="K13"/>
  <c r="L12"/>
  <c r="K12"/>
  <c r="L11"/>
  <c r="K11"/>
  <c r="L10"/>
  <c r="K10"/>
  <c r="L9"/>
  <c r="L8"/>
  <c r="L7"/>
  <c r="L6"/>
  <c r="L5"/>
  <c r="L4"/>
  <c r="L3"/>
  <c r="D41" i="2"/>
  <c r="D40"/>
  <c r="D39"/>
  <c r="D38"/>
  <c r="D37"/>
  <c r="D36"/>
  <c r="D35"/>
  <c r="D34"/>
  <c r="D33"/>
  <c r="D32"/>
  <c r="D31"/>
  <c r="D30"/>
  <c r="D29"/>
  <c r="D28"/>
  <c r="D27"/>
  <c r="D26"/>
  <c r="L18"/>
  <c r="K18"/>
  <c r="L17"/>
  <c r="K17"/>
  <c r="L16"/>
  <c r="K16"/>
  <c r="L15"/>
  <c r="K15"/>
  <c r="L14"/>
  <c r="K14"/>
  <c r="L13"/>
  <c r="K13"/>
  <c r="L12"/>
  <c r="K12"/>
  <c r="L11"/>
  <c r="K11"/>
  <c r="L10"/>
  <c r="K10"/>
  <c r="L9"/>
  <c r="L8"/>
  <c r="L7"/>
  <c r="L6"/>
  <c r="L5"/>
  <c r="L4"/>
  <c r="L3"/>
  <c r="L18" i="1"/>
  <c r="K18"/>
  <c r="L17"/>
  <c r="K17"/>
  <c r="L16"/>
  <c r="K16"/>
  <c r="L15"/>
  <c r="K15"/>
  <c r="L14"/>
  <c r="K14"/>
  <c r="L13"/>
  <c r="K13"/>
  <c r="L12"/>
  <c r="K12"/>
  <c r="L11"/>
  <c r="K11"/>
  <c r="L10"/>
  <c r="K10"/>
  <c r="L9"/>
  <c r="L8"/>
  <c r="L7"/>
  <c r="L6"/>
  <c r="L5"/>
  <c r="L4"/>
  <c r="L3"/>
</calcChain>
</file>

<file path=xl/sharedStrings.xml><?xml version="1.0" encoding="utf-8"?>
<sst xmlns="http://schemas.openxmlformats.org/spreadsheetml/2006/main" count="33" uniqueCount="9">
  <si>
    <t>f [Hz]</t>
  </si>
  <si>
    <r>
      <t>U</t>
    </r>
    <r>
      <rPr>
        <vertAlign val="subscript"/>
        <sz val="11"/>
        <color theme="1"/>
        <rFont val="Czcionka tekstu podstawowego"/>
        <charset val="238"/>
      </rPr>
      <t xml:space="preserve">we </t>
    </r>
    <r>
      <rPr>
        <sz val="11"/>
        <color theme="1"/>
        <rFont val="Czcionka tekstu podstawowego"/>
        <charset val="238"/>
      </rPr>
      <t>[V</t>
    </r>
    <r>
      <rPr>
        <vertAlign val="subscript"/>
        <sz val="11"/>
        <color theme="1"/>
        <rFont val="Czcionka tekstu podstawowego"/>
        <charset val="238"/>
      </rPr>
      <t>PP</t>
    </r>
    <r>
      <rPr>
        <sz val="11"/>
        <color theme="1"/>
        <rFont val="Czcionka tekstu podstawowego"/>
        <charset val="238"/>
      </rPr>
      <t>]</t>
    </r>
  </si>
  <si>
    <r>
      <t>U</t>
    </r>
    <r>
      <rPr>
        <vertAlign val="subscript"/>
        <sz val="11"/>
        <color theme="1"/>
        <rFont val="Czcionka tekstu podstawowego"/>
        <charset val="238"/>
      </rPr>
      <t>wy</t>
    </r>
    <r>
      <rPr>
        <sz val="11"/>
        <color theme="1"/>
        <rFont val="Czcionka tekstu podstawowego"/>
        <family val="2"/>
        <charset val="238"/>
      </rPr>
      <t xml:space="preserve"> [V</t>
    </r>
    <r>
      <rPr>
        <vertAlign val="subscript"/>
        <sz val="11"/>
        <color theme="1"/>
        <rFont val="Czcionka tekstu podstawowego"/>
        <charset val="238"/>
      </rPr>
      <t>PP</t>
    </r>
    <r>
      <rPr>
        <sz val="11"/>
        <color theme="1"/>
        <rFont val="Czcionka tekstu podstawowego"/>
        <family val="2"/>
        <charset val="238"/>
      </rPr>
      <t>]</t>
    </r>
  </si>
  <si>
    <r>
      <rPr>
        <sz val="11"/>
        <color theme="1"/>
        <rFont val="Czcionka tekstu podstawowego"/>
        <charset val="238"/>
      </rPr>
      <t>K</t>
    </r>
    <r>
      <rPr>
        <vertAlign val="subscript"/>
        <sz val="11"/>
        <color theme="1"/>
        <rFont val="Czcionka tekstu podstawowego"/>
        <charset val="238"/>
      </rPr>
      <t>U</t>
    </r>
    <r>
      <rPr>
        <sz val="11"/>
        <color theme="1"/>
        <rFont val="Czcionka tekstu podstawowego"/>
        <charset val="238"/>
      </rPr>
      <t xml:space="preserve"> [V/V]</t>
    </r>
  </si>
  <si>
    <r>
      <t>K</t>
    </r>
    <r>
      <rPr>
        <vertAlign val="subscript"/>
        <sz val="11"/>
        <color theme="1"/>
        <rFont val="Czcionka tekstu podstawowego"/>
        <charset val="238"/>
      </rPr>
      <t>U</t>
    </r>
    <r>
      <rPr>
        <sz val="11"/>
        <color theme="1"/>
        <rFont val="Czcionka tekstu podstawowego"/>
        <charset val="238"/>
      </rPr>
      <t xml:space="preserve"> [V/V]</t>
    </r>
  </si>
  <si>
    <t>lp.</t>
  </si>
  <si>
    <t>ku bezw</t>
  </si>
  <si>
    <t>KU [V/V]</t>
  </si>
  <si>
    <t>lp</t>
  </si>
</sst>
</file>

<file path=xl/styles.xml><?xml version="1.0" encoding="utf-8"?>
<styleSheet xmlns="http://schemas.openxmlformats.org/spreadsheetml/2006/main">
  <fonts count="3">
    <font>
      <sz val="11"/>
      <color theme="1"/>
      <name val="Czcionka tekstu podstawowego"/>
      <family val="2"/>
      <charset val="238"/>
    </font>
    <font>
      <vertAlign val="subscript"/>
      <sz val="11"/>
      <color theme="1"/>
      <name val="Czcionka tekstu podstawowego"/>
      <charset val="238"/>
    </font>
    <font>
      <sz val="11"/>
      <color theme="1"/>
      <name val="Czcionka tekstu podstawowego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/>
    </xf>
    <xf numFmtId="12" fontId="0" fillId="2" borderId="1" xfId="0" applyNumberFormat="1" applyFill="1" applyBorder="1" applyAlignment="1">
      <alignment horizontal="center"/>
    </xf>
    <xf numFmtId="0" fontId="0" fillId="0" borderId="1" xfId="0" applyBorder="1"/>
    <xf numFmtId="12" fontId="2" fillId="2" borderId="1" xfId="0" applyNumberFormat="1" applyFont="1" applyFill="1" applyBorder="1" applyAlignment="1">
      <alignment horizontal="center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 sz="1400"/>
              <a:t>Wykres</a:t>
            </a:r>
            <a:r>
              <a:rPr lang="pl-PL" sz="1400" baseline="0"/>
              <a:t> spadku wzmocnienia napięciowego dla R</a:t>
            </a:r>
            <a:r>
              <a:rPr lang="pl-PL" sz="1400" baseline="-25000"/>
              <a:t>1</a:t>
            </a:r>
            <a:r>
              <a:rPr lang="pl-PL" sz="1400" baseline="0"/>
              <a:t>=1000</a:t>
            </a:r>
            <a:r>
              <a:rPr lang="el-GR" sz="1400" baseline="0">
                <a:latin typeface="Times New Roman"/>
                <a:cs typeface="Times New Roman"/>
              </a:rPr>
              <a:t>Ω</a:t>
            </a:r>
            <a:r>
              <a:rPr lang="pl-PL" sz="1400" baseline="0"/>
              <a:t> </a:t>
            </a:r>
            <a:endParaRPr lang="pl-PL" sz="1400"/>
          </a:p>
        </c:rich>
      </c:tx>
      <c:layout>
        <c:manualLayout>
          <c:xMode val="edge"/>
          <c:yMode val="edge"/>
          <c:x val="0.20932377049180328"/>
          <c:y val="3.7369207772795239E-2"/>
        </c:manualLayout>
      </c:layout>
    </c:title>
    <c:plotArea>
      <c:layout/>
      <c:lineChart>
        <c:grouping val="standard"/>
        <c:ser>
          <c:idx val="1"/>
          <c:order val="1"/>
          <c:marker>
            <c:symbol val="none"/>
          </c:marker>
          <c:dLbls>
            <c:showVal val="1"/>
          </c:dLbls>
          <c:val>
            <c:numRef>
              <c:f>Arkusz2!$D$26:$D$41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6.5</c:v>
                </c:pt>
                <c:pt idx="13">
                  <c:v>3.5</c:v>
                </c:pt>
                <c:pt idx="14">
                  <c:v>1.5</c:v>
                </c:pt>
                <c:pt idx="15">
                  <c:v>1</c:v>
                </c:pt>
              </c:numCache>
            </c:numRef>
          </c:val>
        </c:ser>
        <c:ser>
          <c:idx val="0"/>
          <c:order val="0"/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showVal val="1"/>
          </c:dLbls>
          <c:val>
            <c:numRef>
              <c:f>Arkusz2!$D$26:$D$41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6.5</c:v>
                </c:pt>
                <c:pt idx="13">
                  <c:v>3.5</c:v>
                </c:pt>
                <c:pt idx="14">
                  <c:v>1.5</c:v>
                </c:pt>
                <c:pt idx="15">
                  <c:v>1</c:v>
                </c:pt>
              </c:numCache>
            </c:numRef>
          </c:val>
        </c:ser>
        <c:dLbls>
          <c:showVal val="1"/>
        </c:dLbls>
        <c:marker val="1"/>
        <c:axId val="65558016"/>
        <c:axId val="65559552"/>
      </c:lineChart>
      <c:catAx>
        <c:axId val="65558016"/>
        <c:scaling>
          <c:orientation val="minMax"/>
        </c:scaling>
        <c:axPos val="b"/>
        <c:majorTickMark val="none"/>
        <c:tickLblPos val="nextTo"/>
        <c:crossAx val="65559552"/>
        <c:crosses val="autoZero"/>
        <c:auto val="1"/>
        <c:lblAlgn val="ctr"/>
        <c:lblOffset val="100"/>
      </c:catAx>
      <c:valAx>
        <c:axId val="655595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5558016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 sz="1400"/>
              <a:t>Wykres</a:t>
            </a:r>
            <a:r>
              <a:rPr lang="pl-PL" sz="1400" baseline="0"/>
              <a:t> spadku wzmocnienia napięciowego dla R</a:t>
            </a:r>
            <a:r>
              <a:rPr lang="pl-PL" sz="1400" baseline="-25000"/>
              <a:t>1</a:t>
            </a:r>
            <a:r>
              <a:rPr lang="pl-PL" sz="1400" baseline="0"/>
              <a:t>=1000</a:t>
            </a:r>
            <a:r>
              <a:rPr lang="el-GR" sz="1400" baseline="0">
                <a:latin typeface="Times New Roman"/>
                <a:cs typeface="Times New Roman"/>
              </a:rPr>
              <a:t>Ω</a:t>
            </a:r>
            <a:r>
              <a:rPr lang="pl-PL" sz="1400" baseline="0"/>
              <a:t> </a:t>
            </a:r>
            <a:endParaRPr lang="pl-PL" sz="1400"/>
          </a:p>
        </c:rich>
      </c:tx>
      <c:layout>
        <c:manualLayout>
          <c:xMode val="edge"/>
          <c:yMode val="edge"/>
          <c:x val="0.20932377049180328"/>
          <c:y val="3.7369207772795253E-2"/>
        </c:manualLayout>
      </c:layout>
    </c:title>
    <c:plotArea>
      <c:layout/>
      <c:lineChart>
        <c:grouping val="standard"/>
        <c:ser>
          <c:idx val="1"/>
          <c:order val="1"/>
          <c:marker>
            <c:symbol val="none"/>
          </c:marker>
          <c:dLbls>
            <c:showVal val="1"/>
          </c:dLbls>
          <c:val>
            <c:numRef>
              <c:f>Arkusz2!$D$26:$D$41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6.5</c:v>
                </c:pt>
                <c:pt idx="13">
                  <c:v>3.5</c:v>
                </c:pt>
                <c:pt idx="14">
                  <c:v>1.5</c:v>
                </c:pt>
                <c:pt idx="15">
                  <c:v>1</c:v>
                </c:pt>
              </c:numCache>
            </c:numRef>
          </c:val>
        </c:ser>
        <c:ser>
          <c:idx val="0"/>
          <c:order val="0"/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showVal val="1"/>
          </c:dLbls>
          <c:val>
            <c:numRef>
              <c:f>Arkusz2!$D$26:$D$41</c:f>
              <c:numCache>
                <c:formatCode>General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6.5</c:v>
                </c:pt>
                <c:pt idx="13">
                  <c:v>3.5</c:v>
                </c:pt>
                <c:pt idx="14">
                  <c:v>1.5</c:v>
                </c:pt>
                <c:pt idx="15">
                  <c:v>1</c:v>
                </c:pt>
              </c:numCache>
            </c:numRef>
          </c:val>
        </c:ser>
        <c:dLbls>
          <c:showVal val="1"/>
        </c:dLbls>
        <c:marker val="1"/>
        <c:axId val="66224512"/>
        <c:axId val="66226048"/>
      </c:lineChart>
      <c:catAx>
        <c:axId val="66224512"/>
        <c:scaling>
          <c:orientation val="minMax"/>
        </c:scaling>
        <c:axPos val="b"/>
        <c:majorTickMark val="none"/>
        <c:tickLblPos val="nextTo"/>
        <c:crossAx val="66226048"/>
        <c:crosses val="autoZero"/>
        <c:auto val="1"/>
        <c:lblAlgn val="ctr"/>
        <c:lblOffset val="100"/>
      </c:catAx>
      <c:valAx>
        <c:axId val="662260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6224512"/>
        <c:crosses val="autoZero"/>
        <c:crossBetween val="between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baseline="0"/>
              <a:t>Wykres spadku wzmocnienia napięciowego dla R</a:t>
            </a:r>
            <a:r>
              <a:rPr lang="pl-PL" sz="1400" b="1" i="0" baseline="-25000"/>
              <a:t>1</a:t>
            </a:r>
            <a:r>
              <a:rPr lang="pl-PL" sz="1400" b="1" i="0" baseline="0"/>
              <a:t>=180 000</a:t>
            </a:r>
            <a:r>
              <a:rPr lang="el-GR" sz="1400" b="1" i="0" baseline="0"/>
              <a:t>Ω</a:t>
            </a:r>
            <a:r>
              <a:rPr lang="pl-PL" sz="1400" b="1" i="0" baseline="0"/>
              <a:t> </a:t>
            </a:r>
          </a:p>
        </c:rich>
      </c:tx>
      <c:layout>
        <c:manualLayout>
          <c:xMode val="edge"/>
          <c:yMode val="edge"/>
          <c:x val="0.23400881140942192"/>
          <c:y val="2.0090846483785472E-2"/>
        </c:manualLayout>
      </c:layout>
    </c:title>
    <c:plotArea>
      <c:layout/>
      <c:lineChart>
        <c:grouping val="standard"/>
        <c:ser>
          <c:idx val="0"/>
          <c:order val="0"/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howVal val="1"/>
          </c:dLbls>
          <c:val>
            <c:numRef>
              <c:f>Arkusz3!$Q$3:$Q$18</c:f>
              <c:numCache>
                <c:formatCode>General</c:formatCode>
                <c:ptCount val="16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140</c:v>
                </c:pt>
                <c:pt idx="9">
                  <c:v>100</c:v>
                </c:pt>
                <c:pt idx="10">
                  <c:v>55</c:v>
                </c:pt>
                <c:pt idx="11">
                  <c:v>22.5</c:v>
                </c:pt>
                <c:pt idx="12">
                  <c:v>18</c:v>
                </c:pt>
                <c:pt idx="13">
                  <c:v>6</c:v>
                </c:pt>
                <c:pt idx="14">
                  <c:v>2.5</c:v>
                </c:pt>
                <c:pt idx="15">
                  <c:v>1.5</c:v>
                </c:pt>
              </c:numCache>
            </c:numRef>
          </c:val>
        </c:ser>
        <c:dLbls>
          <c:showVal val="1"/>
        </c:dLbls>
        <c:marker val="1"/>
        <c:axId val="68961408"/>
        <c:axId val="68963328"/>
      </c:lineChart>
      <c:catAx>
        <c:axId val="68961408"/>
        <c:scaling>
          <c:orientation val="minMax"/>
        </c:scaling>
        <c:axPos val="b"/>
        <c:majorTickMark val="none"/>
        <c:tickLblPos val="nextTo"/>
        <c:crossAx val="68963328"/>
        <c:crosses val="autoZero"/>
        <c:auto val="1"/>
        <c:lblAlgn val="ctr"/>
        <c:lblOffset val="100"/>
      </c:catAx>
      <c:valAx>
        <c:axId val="6896332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8961408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24</xdr:row>
      <xdr:rowOff>7620</xdr:rowOff>
    </xdr:from>
    <xdr:to>
      <xdr:col>16</xdr:col>
      <xdr:colOff>129540</xdr:colOff>
      <xdr:row>43</xdr:row>
      <xdr:rowOff>45720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24</xdr:row>
      <xdr:rowOff>7620</xdr:rowOff>
    </xdr:from>
    <xdr:to>
      <xdr:col>16</xdr:col>
      <xdr:colOff>129540</xdr:colOff>
      <xdr:row>43</xdr:row>
      <xdr:rowOff>45720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340658</xdr:colOff>
      <xdr:row>1</xdr:row>
      <xdr:rowOff>91441</xdr:rowOff>
    </xdr:from>
    <xdr:to>
      <xdr:col>30</xdr:col>
      <xdr:colOff>312420</xdr:colOff>
      <xdr:row>23</xdr:row>
      <xdr:rowOff>60961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zoomScale="160" zoomScaleNormal="160" workbookViewId="0">
      <selection activeCell="B2" sqref="B2:L18"/>
    </sheetView>
  </sheetViews>
  <sheetFormatPr defaultRowHeight="13.8"/>
  <cols>
    <col min="2" max="5" width="8.19921875" customWidth="1"/>
    <col min="6" max="6" width="2.3984375" customWidth="1"/>
    <col min="7" max="8" width="2.59765625" customWidth="1"/>
    <col min="9" max="12" width="8.1992187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6.2">
      <c r="A2" s="1"/>
      <c r="B2" s="2" t="s">
        <v>0</v>
      </c>
      <c r="C2" s="2" t="s">
        <v>1</v>
      </c>
      <c r="D2" s="2" t="s">
        <v>2</v>
      </c>
      <c r="E2" s="5" t="s">
        <v>3</v>
      </c>
      <c r="F2" s="1"/>
      <c r="G2" s="1"/>
      <c r="H2" s="1"/>
      <c r="I2" s="2" t="s">
        <v>0</v>
      </c>
      <c r="J2" s="2" t="s">
        <v>1</v>
      </c>
      <c r="K2" s="2" t="s">
        <v>2</v>
      </c>
      <c r="L2" s="3" t="s">
        <v>4</v>
      </c>
      <c r="M2" s="1"/>
    </row>
    <row r="3" spans="1:13">
      <c r="A3" s="1"/>
      <c r="B3" s="4">
        <v>10</v>
      </c>
      <c r="C3" s="4">
        <v>0.4</v>
      </c>
      <c r="D3" s="4">
        <v>4</v>
      </c>
      <c r="E3" s="4">
        <v>-10</v>
      </c>
      <c r="F3" s="1"/>
      <c r="G3" s="1"/>
      <c r="H3" s="1"/>
      <c r="I3" s="4">
        <v>10</v>
      </c>
      <c r="J3" s="4">
        <v>0.04</v>
      </c>
      <c r="K3" s="4">
        <v>7.2</v>
      </c>
      <c r="L3" s="4">
        <f>-K3/J3</f>
        <v>-180</v>
      </c>
      <c r="M3" s="1"/>
    </row>
    <row r="4" spans="1:13">
      <c r="A4" s="1"/>
      <c r="B4" s="4">
        <v>20</v>
      </c>
      <c r="C4" s="4">
        <v>0.4</v>
      </c>
      <c r="D4" s="4">
        <v>4</v>
      </c>
      <c r="E4" s="4">
        <v>-10</v>
      </c>
      <c r="F4" s="1"/>
      <c r="G4" s="1"/>
      <c r="H4" s="1"/>
      <c r="I4" s="4">
        <v>20</v>
      </c>
      <c r="J4" s="4">
        <v>0.04</v>
      </c>
      <c r="K4" s="4">
        <v>7.2</v>
      </c>
      <c r="L4" s="4">
        <f t="shared" ref="L4:L18" si="0">-K4/J4</f>
        <v>-180</v>
      </c>
      <c r="M4" s="1"/>
    </row>
    <row r="5" spans="1:13">
      <c r="A5" s="1"/>
      <c r="B5" s="4">
        <v>50</v>
      </c>
      <c r="C5" s="4">
        <v>0.4</v>
      </c>
      <c r="D5" s="4">
        <v>4</v>
      </c>
      <c r="E5" s="4">
        <v>-10</v>
      </c>
      <c r="F5" s="1"/>
      <c r="G5" s="1"/>
      <c r="H5" s="1"/>
      <c r="I5" s="4">
        <v>50</v>
      </c>
      <c r="J5" s="4">
        <v>0.04</v>
      </c>
      <c r="K5" s="4">
        <v>7.2</v>
      </c>
      <c r="L5" s="4">
        <f t="shared" si="0"/>
        <v>-180</v>
      </c>
      <c r="M5" s="1"/>
    </row>
    <row r="6" spans="1:13">
      <c r="A6" s="1"/>
      <c r="B6" s="4">
        <v>100</v>
      </c>
      <c r="C6" s="4">
        <v>0.4</v>
      </c>
      <c r="D6" s="4">
        <v>4</v>
      </c>
      <c r="E6" s="4">
        <v>-10</v>
      </c>
      <c r="F6" s="1"/>
      <c r="G6" s="1"/>
      <c r="H6" s="1"/>
      <c r="I6" s="4">
        <v>100</v>
      </c>
      <c r="J6" s="4">
        <v>0.04</v>
      </c>
      <c r="K6" s="4">
        <v>7.2</v>
      </c>
      <c r="L6" s="4">
        <f t="shared" si="0"/>
        <v>-180</v>
      </c>
      <c r="M6" s="1"/>
    </row>
    <row r="7" spans="1:13">
      <c r="A7" s="1"/>
      <c r="B7" s="4">
        <v>200</v>
      </c>
      <c r="C7" s="4">
        <v>0.4</v>
      </c>
      <c r="D7" s="4">
        <v>4</v>
      </c>
      <c r="E7" s="4">
        <v>-10</v>
      </c>
      <c r="F7" s="1"/>
      <c r="G7" s="1"/>
      <c r="H7" s="1"/>
      <c r="I7" s="4">
        <v>200</v>
      </c>
      <c r="J7" s="4">
        <v>0.04</v>
      </c>
      <c r="K7" s="4">
        <v>7.2</v>
      </c>
      <c r="L7" s="4">
        <f t="shared" si="0"/>
        <v>-180</v>
      </c>
      <c r="M7" s="1"/>
    </row>
    <row r="8" spans="1:13">
      <c r="A8" s="1"/>
      <c r="B8" s="4">
        <v>500</v>
      </c>
      <c r="C8" s="4">
        <v>0.4</v>
      </c>
      <c r="D8" s="4">
        <v>4</v>
      </c>
      <c r="E8" s="4">
        <v>-10</v>
      </c>
      <c r="F8" s="1"/>
      <c r="G8" s="1"/>
      <c r="H8" s="1"/>
      <c r="I8" s="4">
        <v>500</v>
      </c>
      <c r="J8" s="4">
        <v>0.04</v>
      </c>
      <c r="K8" s="4">
        <v>7.2</v>
      </c>
      <c r="L8" s="4">
        <f t="shared" si="0"/>
        <v>-180</v>
      </c>
      <c r="M8" s="1"/>
    </row>
    <row r="9" spans="1:13">
      <c r="A9" s="1"/>
      <c r="B9" s="4">
        <v>1000</v>
      </c>
      <c r="C9" s="4">
        <v>0.4</v>
      </c>
      <c r="D9" s="4">
        <v>4</v>
      </c>
      <c r="E9" s="4">
        <v>-10</v>
      </c>
      <c r="F9" s="1"/>
      <c r="G9" s="1"/>
      <c r="H9" s="1"/>
      <c r="I9" s="4">
        <v>1000</v>
      </c>
      <c r="J9" s="4">
        <v>0.04</v>
      </c>
      <c r="K9" s="4">
        <v>7.2</v>
      </c>
      <c r="L9" s="4">
        <f t="shared" si="0"/>
        <v>-180</v>
      </c>
      <c r="M9" s="1"/>
    </row>
    <row r="10" spans="1:13">
      <c r="A10" s="1"/>
      <c r="B10" s="4">
        <v>2000</v>
      </c>
      <c r="C10" s="4">
        <v>0.4</v>
      </c>
      <c r="D10" s="4">
        <v>4</v>
      </c>
      <c r="E10" s="4">
        <v>-10</v>
      </c>
      <c r="F10" s="1"/>
      <c r="G10" s="1"/>
      <c r="H10" s="1"/>
      <c r="I10" s="4">
        <v>2000</v>
      </c>
      <c r="J10" s="4">
        <v>0.04</v>
      </c>
      <c r="K10" s="4">
        <f>3.6*2</f>
        <v>7.2</v>
      </c>
      <c r="L10" s="4">
        <f t="shared" si="0"/>
        <v>-180</v>
      </c>
      <c r="M10" s="1"/>
    </row>
    <row r="11" spans="1:13">
      <c r="A11" s="1"/>
      <c r="B11" s="4">
        <v>5000</v>
      </c>
      <c r="C11" s="4">
        <v>0.4</v>
      </c>
      <c r="D11" s="4">
        <v>4</v>
      </c>
      <c r="E11" s="4">
        <v>-10</v>
      </c>
      <c r="F11" s="1"/>
      <c r="G11" s="1"/>
      <c r="H11" s="1"/>
      <c r="I11" s="4">
        <v>5000</v>
      </c>
      <c r="J11" s="4">
        <v>0.04</v>
      </c>
      <c r="K11" s="4">
        <f>2.8*2</f>
        <v>5.6</v>
      </c>
      <c r="L11" s="4">
        <f t="shared" si="0"/>
        <v>-140</v>
      </c>
      <c r="M11" s="1"/>
    </row>
    <row r="12" spans="1:13">
      <c r="A12" s="1"/>
      <c r="B12" s="4">
        <v>10000</v>
      </c>
      <c r="C12" s="4">
        <v>0.4</v>
      </c>
      <c r="D12" s="4">
        <v>4</v>
      </c>
      <c r="E12" s="4">
        <v>-10</v>
      </c>
      <c r="F12" s="1"/>
      <c r="G12" s="1"/>
      <c r="H12" s="1"/>
      <c r="I12" s="4">
        <v>10000</v>
      </c>
      <c r="J12" s="4">
        <v>0.04</v>
      </c>
      <c r="K12" s="4">
        <f>2*2</f>
        <v>4</v>
      </c>
      <c r="L12" s="4">
        <f t="shared" si="0"/>
        <v>-100</v>
      </c>
      <c r="M12" s="1"/>
    </row>
    <row r="13" spans="1:13">
      <c r="A13" s="1"/>
      <c r="B13" s="4">
        <v>20000</v>
      </c>
      <c r="C13" s="4">
        <v>0.4</v>
      </c>
      <c r="D13" s="4">
        <v>4</v>
      </c>
      <c r="E13" s="4">
        <v>-10</v>
      </c>
      <c r="F13" s="1"/>
      <c r="G13" s="1"/>
      <c r="H13" s="1"/>
      <c r="I13" s="4">
        <v>20000</v>
      </c>
      <c r="J13" s="4">
        <v>0.04</v>
      </c>
      <c r="K13" s="4">
        <f>2.2*1</f>
        <v>2.2000000000000002</v>
      </c>
      <c r="L13" s="4">
        <f t="shared" si="0"/>
        <v>-55</v>
      </c>
      <c r="M13" s="1"/>
    </row>
    <row r="14" spans="1:13">
      <c r="A14" s="1"/>
      <c r="B14" s="4">
        <v>50000</v>
      </c>
      <c r="C14" s="4">
        <v>0.4</v>
      </c>
      <c r="D14" s="4">
        <v>4</v>
      </c>
      <c r="E14" s="4">
        <v>-10</v>
      </c>
      <c r="F14" s="1"/>
      <c r="G14" s="1"/>
      <c r="H14" s="1"/>
      <c r="I14" s="4">
        <v>50000</v>
      </c>
      <c r="J14" s="4">
        <v>0.04</v>
      </c>
      <c r="K14" s="4">
        <f>1.8*0.5</f>
        <v>0.9</v>
      </c>
      <c r="L14" s="4">
        <f t="shared" si="0"/>
        <v>-22.5</v>
      </c>
      <c r="M14" s="1"/>
    </row>
    <row r="15" spans="1:13">
      <c r="A15" s="1"/>
      <c r="B15" s="4">
        <v>100000</v>
      </c>
      <c r="C15" s="4">
        <v>0.4</v>
      </c>
      <c r="D15" s="4">
        <v>2.6</v>
      </c>
      <c r="E15" s="4">
        <v>-6.5</v>
      </c>
      <c r="F15" s="1"/>
      <c r="G15" s="1"/>
      <c r="H15" s="1"/>
      <c r="I15" s="4">
        <v>100000</v>
      </c>
      <c r="J15" s="4">
        <v>0.04</v>
      </c>
      <c r="K15" s="4">
        <f>3.6*0.2</f>
        <v>0.72000000000000008</v>
      </c>
      <c r="L15" s="4">
        <f t="shared" si="0"/>
        <v>-18</v>
      </c>
      <c r="M15" s="1"/>
    </row>
    <row r="16" spans="1:13">
      <c r="A16" s="1"/>
      <c r="B16" s="4">
        <v>200000</v>
      </c>
      <c r="C16" s="4">
        <v>0.4</v>
      </c>
      <c r="D16" s="4">
        <v>1.4</v>
      </c>
      <c r="E16" s="4">
        <v>-3.5</v>
      </c>
      <c r="F16" s="1"/>
      <c r="G16" s="1"/>
      <c r="H16" s="1"/>
      <c r="I16" s="4">
        <v>200000</v>
      </c>
      <c r="J16" s="4">
        <v>0.04</v>
      </c>
      <c r="K16" s="4">
        <f>2.4*0.1</f>
        <v>0.24</v>
      </c>
      <c r="L16" s="4">
        <f t="shared" si="0"/>
        <v>-6</v>
      </c>
      <c r="M16" s="1"/>
    </row>
    <row r="17" spans="1:13">
      <c r="A17" s="1"/>
      <c r="B17" s="4">
        <v>500000</v>
      </c>
      <c r="C17" s="4">
        <v>0.4</v>
      </c>
      <c r="D17" s="4">
        <v>0.6</v>
      </c>
      <c r="E17" s="4">
        <v>-1.5</v>
      </c>
      <c r="F17" s="1"/>
      <c r="G17" s="1"/>
      <c r="H17" s="1"/>
      <c r="I17" s="4">
        <v>500000</v>
      </c>
      <c r="J17" s="4">
        <v>0.04</v>
      </c>
      <c r="K17" s="4">
        <f>0.1</f>
        <v>0.1</v>
      </c>
      <c r="L17" s="4">
        <f t="shared" si="0"/>
        <v>-2.5</v>
      </c>
      <c r="M17" s="1"/>
    </row>
    <row r="18" spans="1:13">
      <c r="A18" s="1"/>
      <c r="B18" s="4">
        <v>1000000</v>
      </c>
      <c r="C18" s="4">
        <v>0.4</v>
      </c>
      <c r="D18" s="4">
        <v>0.4</v>
      </c>
      <c r="E18" s="4">
        <v>-1</v>
      </c>
      <c r="F18" s="1"/>
      <c r="G18" s="1"/>
      <c r="H18" s="1"/>
      <c r="I18" s="4">
        <v>1000000</v>
      </c>
      <c r="J18" s="4">
        <v>0.04</v>
      </c>
      <c r="K18" s="4">
        <f>0.6*0.1</f>
        <v>0.06</v>
      </c>
      <c r="L18" s="4">
        <f t="shared" si="0"/>
        <v>-1.5</v>
      </c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1"/>
  <sheetViews>
    <sheetView zoomScale="70" zoomScaleNormal="70" workbookViewId="0">
      <selection activeCell="S22" sqref="A1:XFD1048576"/>
    </sheetView>
  </sheetViews>
  <sheetFormatPr defaultRowHeight="13.8"/>
  <sheetData>
    <row r="2" spans="2:12" ht="16.2">
      <c r="B2" s="2" t="s">
        <v>0</v>
      </c>
      <c r="C2" s="2" t="s">
        <v>1</v>
      </c>
      <c r="D2" s="2" t="s">
        <v>2</v>
      </c>
      <c r="E2" s="5" t="s">
        <v>3</v>
      </c>
      <c r="F2" s="1"/>
      <c r="G2" s="1"/>
      <c r="H2" s="1"/>
      <c r="I2" s="2" t="s">
        <v>0</v>
      </c>
      <c r="J2" s="2" t="s">
        <v>1</v>
      </c>
      <c r="K2" s="2" t="s">
        <v>2</v>
      </c>
      <c r="L2" s="3" t="s">
        <v>4</v>
      </c>
    </row>
    <row r="3" spans="2:12">
      <c r="B3" s="4">
        <v>10</v>
      </c>
      <c r="C3" s="4">
        <v>0.4</v>
      </c>
      <c r="D3" s="4">
        <v>4</v>
      </c>
      <c r="E3" s="4">
        <v>-10</v>
      </c>
      <c r="F3" s="1"/>
      <c r="G3" s="1"/>
      <c r="H3" s="1"/>
      <c r="I3" s="4">
        <v>10</v>
      </c>
      <c r="J3" s="4">
        <v>0.04</v>
      </c>
      <c r="K3" s="4">
        <v>7.2</v>
      </c>
      <c r="L3" s="4">
        <f>-K3/J3</f>
        <v>-180</v>
      </c>
    </row>
    <row r="4" spans="2:12">
      <c r="B4" s="4">
        <v>20</v>
      </c>
      <c r="C4" s="4">
        <v>0.4</v>
      </c>
      <c r="D4" s="4">
        <v>4</v>
      </c>
      <c r="E4" s="4">
        <v>-10</v>
      </c>
      <c r="F4" s="1"/>
      <c r="G4" s="1"/>
      <c r="H4" s="1"/>
      <c r="I4" s="4">
        <v>20</v>
      </c>
      <c r="J4" s="4">
        <v>0.04</v>
      </c>
      <c r="K4" s="4">
        <v>7.2</v>
      </c>
      <c r="L4" s="4">
        <f t="shared" ref="L4:L18" si="0">-K4/J4</f>
        <v>-180</v>
      </c>
    </row>
    <row r="5" spans="2:12">
      <c r="B5" s="4">
        <v>50</v>
      </c>
      <c r="C5" s="4">
        <v>0.4</v>
      </c>
      <c r="D5" s="4">
        <v>4</v>
      </c>
      <c r="E5" s="4">
        <v>-10</v>
      </c>
      <c r="F5" s="1"/>
      <c r="G5" s="1"/>
      <c r="H5" s="1"/>
      <c r="I5" s="4">
        <v>50</v>
      </c>
      <c r="J5" s="4">
        <v>0.04</v>
      </c>
      <c r="K5" s="4">
        <v>7.2</v>
      </c>
      <c r="L5" s="4">
        <f t="shared" si="0"/>
        <v>-180</v>
      </c>
    </row>
    <row r="6" spans="2:12">
      <c r="B6" s="4">
        <v>100</v>
      </c>
      <c r="C6" s="4">
        <v>0.4</v>
      </c>
      <c r="D6" s="4">
        <v>4</v>
      </c>
      <c r="E6" s="4">
        <v>-10</v>
      </c>
      <c r="F6" s="1"/>
      <c r="G6" s="1"/>
      <c r="H6" s="1"/>
      <c r="I6" s="4">
        <v>100</v>
      </c>
      <c r="J6" s="4">
        <v>0.04</v>
      </c>
      <c r="K6" s="4">
        <v>7.2</v>
      </c>
      <c r="L6" s="4">
        <f t="shared" si="0"/>
        <v>-180</v>
      </c>
    </row>
    <row r="7" spans="2:12">
      <c r="B7" s="4">
        <v>200</v>
      </c>
      <c r="C7" s="4">
        <v>0.4</v>
      </c>
      <c r="D7" s="4">
        <v>4</v>
      </c>
      <c r="E7" s="4">
        <v>-10</v>
      </c>
      <c r="F7" s="1"/>
      <c r="G7" s="1"/>
      <c r="H7" s="1"/>
      <c r="I7" s="4">
        <v>200</v>
      </c>
      <c r="J7" s="4">
        <v>0.04</v>
      </c>
      <c r="K7" s="4">
        <v>7.2</v>
      </c>
      <c r="L7" s="4">
        <f t="shared" si="0"/>
        <v>-180</v>
      </c>
    </row>
    <row r="8" spans="2:12">
      <c r="B8" s="4">
        <v>500</v>
      </c>
      <c r="C8" s="4">
        <v>0.4</v>
      </c>
      <c r="D8" s="4">
        <v>4</v>
      </c>
      <c r="E8" s="4">
        <v>-10</v>
      </c>
      <c r="F8" s="1"/>
      <c r="G8" s="1"/>
      <c r="H8" s="1"/>
      <c r="I8" s="4">
        <v>500</v>
      </c>
      <c r="J8" s="4">
        <v>0.04</v>
      </c>
      <c r="K8" s="4">
        <v>7.2</v>
      </c>
      <c r="L8" s="4">
        <f t="shared" si="0"/>
        <v>-180</v>
      </c>
    </row>
    <row r="9" spans="2:12">
      <c r="B9" s="4">
        <v>1000</v>
      </c>
      <c r="C9" s="4">
        <v>0.4</v>
      </c>
      <c r="D9" s="4">
        <v>4</v>
      </c>
      <c r="E9" s="4">
        <v>-10</v>
      </c>
      <c r="F9" s="1"/>
      <c r="G9" s="1"/>
      <c r="H9" s="1"/>
      <c r="I9" s="4">
        <v>1000</v>
      </c>
      <c r="J9" s="4">
        <v>0.04</v>
      </c>
      <c r="K9" s="4">
        <v>7.2</v>
      </c>
      <c r="L9" s="4">
        <f t="shared" si="0"/>
        <v>-180</v>
      </c>
    </row>
    <row r="10" spans="2:12">
      <c r="B10" s="4">
        <v>2000</v>
      </c>
      <c r="C10" s="4">
        <v>0.4</v>
      </c>
      <c r="D10" s="4">
        <v>4</v>
      </c>
      <c r="E10" s="4">
        <v>-10</v>
      </c>
      <c r="F10" s="1"/>
      <c r="G10" s="1"/>
      <c r="H10" s="1"/>
      <c r="I10" s="4">
        <v>2000</v>
      </c>
      <c r="J10" s="4">
        <v>0.04</v>
      </c>
      <c r="K10" s="4">
        <f>3.6*2</f>
        <v>7.2</v>
      </c>
      <c r="L10" s="4">
        <f t="shared" si="0"/>
        <v>-180</v>
      </c>
    </row>
    <row r="11" spans="2:12">
      <c r="B11" s="4">
        <v>5000</v>
      </c>
      <c r="C11" s="4">
        <v>0.4</v>
      </c>
      <c r="D11" s="4">
        <v>4</v>
      </c>
      <c r="E11" s="4">
        <v>-10</v>
      </c>
      <c r="F11" s="1"/>
      <c r="G11" s="1"/>
      <c r="H11" s="1"/>
      <c r="I11" s="4">
        <v>5000</v>
      </c>
      <c r="J11" s="4">
        <v>0.04</v>
      </c>
      <c r="K11" s="4">
        <f>2.8*2</f>
        <v>5.6</v>
      </c>
      <c r="L11" s="4">
        <f t="shared" si="0"/>
        <v>-140</v>
      </c>
    </row>
    <row r="12" spans="2:12">
      <c r="B12" s="4">
        <v>10000</v>
      </c>
      <c r="C12" s="4">
        <v>0.4</v>
      </c>
      <c r="D12" s="4">
        <v>4</v>
      </c>
      <c r="E12" s="4">
        <v>-10</v>
      </c>
      <c r="F12" s="1"/>
      <c r="G12" s="1"/>
      <c r="H12" s="1"/>
      <c r="I12" s="4">
        <v>10000</v>
      </c>
      <c r="J12" s="4">
        <v>0.04</v>
      </c>
      <c r="K12" s="4">
        <f>2*2</f>
        <v>4</v>
      </c>
      <c r="L12" s="4">
        <f t="shared" si="0"/>
        <v>-100</v>
      </c>
    </row>
    <row r="13" spans="2:12">
      <c r="B13" s="4">
        <v>20000</v>
      </c>
      <c r="C13" s="4">
        <v>0.4</v>
      </c>
      <c r="D13" s="4">
        <v>4</v>
      </c>
      <c r="E13" s="4">
        <v>-10</v>
      </c>
      <c r="F13" s="1"/>
      <c r="G13" s="1"/>
      <c r="H13" s="1"/>
      <c r="I13" s="4">
        <v>20000</v>
      </c>
      <c r="J13" s="4">
        <v>0.04</v>
      </c>
      <c r="K13" s="4">
        <f>2.2*1</f>
        <v>2.2000000000000002</v>
      </c>
      <c r="L13" s="4">
        <f t="shared" si="0"/>
        <v>-55</v>
      </c>
    </row>
    <row r="14" spans="2:12">
      <c r="B14" s="4">
        <v>50000</v>
      </c>
      <c r="C14" s="4">
        <v>0.4</v>
      </c>
      <c r="D14" s="4">
        <v>4</v>
      </c>
      <c r="E14" s="4">
        <v>-10</v>
      </c>
      <c r="F14" s="1"/>
      <c r="G14" s="1"/>
      <c r="H14" s="1"/>
      <c r="I14" s="4">
        <v>50000</v>
      </c>
      <c r="J14" s="4">
        <v>0.04</v>
      </c>
      <c r="K14" s="4">
        <f>1.8*0.5</f>
        <v>0.9</v>
      </c>
      <c r="L14" s="4">
        <f t="shared" si="0"/>
        <v>-22.5</v>
      </c>
    </row>
    <row r="15" spans="2:12">
      <c r="B15" s="4">
        <v>100000</v>
      </c>
      <c r="C15" s="4">
        <v>0.4</v>
      </c>
      <c r="D15" s="4">
        <v>2.6</v>
      </c>
      <c r="E15" s="4">
        <v>-6.5</v>
      </c>
      <c r="F15" s="1"/>
      <c r="G15" s="1"/>
      <c r="H15" s="1"/>
      <c r="I15" s="4">
        <v>100000</v>
      </c>
      <c r="J15" s="4">
        <v>0.04</v>
      </c>
      <c r="K15" s="4">
        <f>3.6*0.2</f>
        <v>0.72000000000000008</v>
      </c>
      <c r="L15" s="4">
        <f t="shared" si="0"/>
        <v>-18</v>
      </c>
    </row>
    <row r="16" spans="2:12">
      <c r="B16" s="4">
        <v>200000</v>
      </c>
      <c r="C16" s="4">
        <v>0.4</v>
      </c>
      <c r="D16" s="4">
        <v>1.4</v>
      </c>
      <c r="E16" s="4">
        <v>-3.5</v>
      </c>
      <c r="F16" s="1"/>
      <c r="G16" s="1"/>
      <c r="H16" s="1"/>
      <c r="I16" s="4">
        <v>200000</v>
      </c>
      <c r="J16" s="4">
        <v>0.04</v>
      </c>
      <c r="K16" s="4">
        <f>2.4*0.1</f>
        <v>0.24</v>
      </c>
      <c r="L16" s="4">
        <f t="shared" si="0"/>
        <v>-6</v>
      </c>
    </row>
    <row r="17" spans="2:12">
      <c r="B17" s="4">
        <v>500000</v>
      </c>
      <c r="C17" s="4">
        <v>0.4</v>
      </c>
      <c r="D17" s="4">
        <v>0.6</v>
      </c>
      <c r="E17" s="4">
        <v>-1.5</v>
      </c>
      <c r="F17" s="1"/>
      <c r="G17" s="1"/>
      <c r="H17" s="1"/>
      <c r="I17" s="4">
        <v>500000</v>
      </c>
      <c r="J17" s="4">
        <v>0.04</v>
      </c>
      <c r="K17" s="4">
        <f>0.1</f>
        <v>0.1</v>
      </c>
      <c r="L17" s="4">
        <f t="shared" si="0"/>
        <v>-2.5</v>
      </c>
    </row>
    <row r="18" spans="2:12">
      <c r="B18" s="4">
        <v>1000000</v>
      </c>
      <c r="C18" s="4">
        <v>0.4</v>
      </c>
      <c r="D18" s="4">
        <v>0.4</v>
      </c>
      <c r="E18" s="4">
        <v>-1</v>
      </c>
      <c r="F18" s="1"/>
      <c r="G18" s="1"/>
      <c r="H18" s="1"/>
      <c r="I18" s="4">
        <v>1000000</v>
      </c>
      <c r="J18" s="4">
        <v>0.04</v>
      </c>
      <c r="K18" s="4">
        <f>0.6*0.1</f>
        <v>0.06</v>
      </c>
      <c r="L18" s="4">
        <f t="shared" si="0"/>
        <v>-1.5</v>
      </c>
    </row>
    <row r="25" spans="2:12" ht="16.2">
      <c r="B25" t="s">
        <v>5</v>
      </c>
      <c r="C25" s="5" t="s">
        <v>3</v>
      </c>
      <c r="D25" t="s">
        <v>6</v>
      </c>
    </row>
    <row r="26" spans="2:12">
      <c r="B26">
        <v>1</v>
      </c>
      <c r="C26">
        <v>-10</v>
      </c>
      <c r="D26">
        <f>ABS(C26)</f>
        <v>10</v>
      </c>
    </row>
    <row r="27" spans="2:12">
      <c r="B27">
        <v>2</v>
      </c>
      <c r="C27">
        <v>-10</v>
      </c>
      <c r="D27">
        <f t="shared" ref="D27:D41" si="1">ABS(C27)</f>
        <v>10</v>
      </c>
    </row>
    <row r="28" spans="2:12">
      <c r="B28">
        <v>3</v>
      </c>
      <c r="C28">
        <v>-10</v>
      </c>
      <c r="D28">
        <f t="shared" si="1"/>
        <v>10</v>
      </c>
    </row>
    <row r="29" spans="2:12">
      <c r="B29">
        <v>4</v>
      </c>
      <c r="C29">
        <v>-10</v>
      </c>
      <c r="D29">
        <f t="shared" si="1"/>
        <v>10</v>
      </c>
    </row>
    <row r="30" spans="2:12">
      <c r="B30">
        <v>5</v>
      </c>
      <c r="C30">
        <v>-10</v>
      </c>
      <c r="D30">
        <f t="shared" si="1"/>
        <v>10</v>
      </c>
    </row>
    <row r="31" spans="2:12">
      <c r="B31">
        <v>6</v>
      </c>
      <c r="C31">
        <v>-10</v>
      </c>
      <c r="D31">
        <f t="shared" si="1"/>
        <v>10</v>
      </c>
    </row>
    <row r="32" spans="2:12">
      <c r="B32">
        <v>7</v>
      </c>
      <c r="C32">
        <v>-10</v>
      </c>
      <c r="D32">
        <f t="shared" si="1"/>
        <v>10</v>
      </c>
    </row>
    <row r="33" spans="2:4">
      <c r="B33">
        <v>8</v>
      </c>
      <c r="C33">
        <v>-10</v>
      </c>
      <c r="D33">
        <f t="shared" si="1"/>
        <v>10</v>
      </c>
    </row>
    <row r="34" spans="2:4">
      <c r="B34">
        <v>9</v>
      </c>
      <c r="C34">
        <v>-10</v>
      </c>
      <c r="D34">
        <f t="shared" si="1"/>
        <v>10</v>
      </c>
    </row>
    <row r="35" spans="2:4">
      <c r="B35">
        <v>10</v>
      </c>
      <c r="C35">
        <v>-10</v>
      </c>
      <c r="D35">
        <f t="shared" si="1"/>
        <v>10</v>
      </c>
    </row>
    <row r="36" spans="2:4">
      <c r="B36">
        <v>11</v>
      </c>
      <c r="C36">
        <v>-10</v>
      </c>
      <c r="D36">
        <f t="shared" si="1"/>
        <v>10</v>
      </c>
    </row>
    <row r="37" spans="2:4">
      <c r="B37">
        <v>12</v>
      </c>
      <c r="C37">
        <v>-10</v>
      </c>
      <c r="D37">
        <f t="shared" si="1"/>
        <v>10</v>
      </c>
    </row>
    <row r="38" spans="2:4">
      <c r="B38">
        <v>13</v>
      </c>
      <c r="C38">
        <v>-6.5</v>
      </c>
      <c r="D38">
        <f t="shared" si="1"/>
        <v>6.5</v>
      </c>
    </row>
    <row r="39" spans="2:4">
      <c r="B39">
        <v>14</v>
      </c>
      <c r="C39">
        <v>-3.5</v>
      </c>
      <c r="D39">
        <f t="shared" si="1"/>
        <v>3.5</v>
      </c>
    </row>
    <row r="40" spans="2:4">
      <c r="B40">
        <v>15</v>
      </c>
      <c r="C40">
        <v>-1.5</v>
      </c>
      <c r="D40">
        <f t="shared" si="1"/>
        <v>1.5</v>
      </c>
    </row>
    <row r="41" spans="2:4">
      <c r="B41">
        <v>16</v>
      </c>
      <c r="C41">
        <v>-1</v>
      </c>
      <c r="D41">
        <f t="shared" si="1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Q41"/>
  <sheetViews>
    <sheetView tabSelected="1" topLeftCell="A5" zoomScale="85" zoomScaleNormal="85" workbookViewId="0">
      <selection activeCell="Q24" sqref="Q24"/>
    </sheetView>
  </sheetViews>
  <sheetFormatPr defaultRowHeight="13.8"/>
  <sheetData>
    <row r="2" spans="2:17" ht="16.2">
      <c r="B2" s="2" t="s">
        <v>0</v>
      </c>
      <c r="C2" s="2" t="s">
        <v>1</v>
      </c>
      <c r="D2" s="2" t="s">
        <v>2</v>
      </c>
      <c r="E2" s="5" t="s">
        <v>3</v>
      </c>
      <c r="F2" s="1"/>
      <c r="G2" s="1"/>
      <c r="H2" s="1"/>
      <c r="I2" s="2" t="s">
        <v>0</v>
      </c>
      <c r="J2" s="2" t="s">
        <v>1</v>
      </c>
      <c r="K2" s="2" t="s">
        <v>2</v>
      </c>
      <c r="L2" s="3" t="s">
        <v>4</v>
      </c>
      <c r="O2" t="s">
        <v>8</v>
      </c>
      <c r="P2" s="6" t="s">
        <v>7</v>
      </c>
      <c r="Q2" t="s">
        <v>6</v>
      </c>
    </row>
    <row r="3" spans="2:17">
      <c r="B3" s="4">
        <v>10</v>
      </c>
      <c r="C3" s="4">
        <v>0.4</v>
      </c>
      <c r="D3" s="4">
        <v>4</v>
      </c>
      <c r="E3" s="4">
        <v>-10</v>
      </c>
      <c r="F3" s="1"/>
      <c r="G3" s="1"/>
      <c r="H3" s="1"/>
      <c r="I3" s="4">
        <v>10</v>
      </c>
      <c r="J3" s="4">
        <v>0.04</v>
      </c>
      <c r="K3" s="4">
        <v>7.2</v>
      </c>
      <c r="L3" s="4">
        <f>-K3/J3</f>
        <v>-180</v>
      </c>
      <c r="O3">
        <v>1</v>
      </c>
      <c r="P3">
        <v>-180</v>
      </c>
      <c r="Q3">
        <f>ABS(P3)</f>
        <v>180</v>
      </c>
    </row>
    <row r="4" spans="2:17">
      <c r="B4" s="4">
        <v>20</v>
      </c>
      <c r="C4" s="4">
        <v>0.4</v>
      </c>
      <c r="D4" s="4">
        <v>4</v>
      </c>
      <c r="E4" s="4">
        <v>-10</v>
      </c>
      <c r="F4" s="1"/>
      <c r="G4" s="1"/>
      <c r="H4" s="1"/>
      <c r="I4" s="4">
        <v>20</v>
      </c>
      <c r="J4" s="4">
        <v>0.04</v>
      </c>
      <c r="K4" s="4">
        <v>7.2</v>
      </c>
      <c r="L4" s="4">
        <f t="shared" ref="L4:L18" si="0">-K4/J4</f>
        <v>-180</v>
      </c>
      <c r="O4">
        <v>2</v>
      </c>
      <c r="P4">
        <v>-180</v>
      </c>
      <c r="Q4">
        <f t="shared" ref="Q4:Q18" si="1">ABS(P4)</f>
        <v>180</v>
      </c>
    </row>
    <row r="5" spans="2:17">
      <c r="B5" s="4">
        <v>50</v>
      </c>
      <c r="C5" s="4">
        <v>0.4</v>
      </c>
      <c r="D5" s="4">
        <v>4</v>
      </c>
      <c r="E5" s="4">
        <v>-10</v>
      </c>
      <c r="F5" s="1"/>
      <c r="G5" s="1"/>
      <c r="H5" s="1"/>
      <c r="I5" s="4">
        <v>50</v>
      </c>
      <c r="J5" s="4">
        <v>0.04</v>
      </c>
      <c r="K5" s="4">
        <v>7.2</v>
      </c>
      <c r="L5" s="4">
        <f t="shared" si="0"/>
        <v>-180</v>
      </c>
      <c r="O5">
        <v>3</v>
      </c>
      <c r="P5">
        <v>-180</v>
      </c>
      <c r="Q5">
        <f t="shared" si="1"/>
        <v>180</v>
      </c>
    </row>
    <row r="6" spans="2:17">
      <c r="B6" s="4">
        <v>100</v>
      </c>
      <c r="C6" s="4">
        <v>0.4</v>
      </c>
      <c r="D6" s="4">
        <v>4</v>
      </c>
      <c r="E6" s="4">
        <v>-10</v>
      </c>
      <c r="F6" s="1"/>
      <c r="G6" s="1"/>
      <c r="H6" s="1"/>
      <c r="I6" s="4">
        <v>100</v>
      </c>
      <c r="J6" s="4">
        <v>0.04</v>
      </c>
      <c r="K6" s="4">
        <v>7.2</v>
      </c>
      <c r="L6" s="4">
        <f t="shared" si="0"/>
        <v>-180</v>
      </c>
      <c r="O6">
        <v>4</v>
      </c>
      <c r="P6">
        <v>-180</v>
      </c>
      <c r="Q6">
        <f t="shared" si="1"/>
        <v>180</v>
      </c>
    </row>
    <row r="7" spans="2:17">
      <c r="B7" s="4">
        <v>200</v>
      </c>
      <c r="C7" s="4">
        <v>0.4</v>
      </c>
      <c r="D7" s="4">
        <v>4</v>
      </c>
      <c r="E7" s="4">
        <v>-10</v>
      </c>
      <c r="F7" s="1"/>
      <c r="G7" s="1"/>
      <c r="H7" s="1"/>
      <c r="I7" s="4">
        <v>200</v>
      </c>
      <c r="J7" s="4">
        <v>0.04</v>
      </c>
      <c r="K7" s="4">
        <v>7.2</v>
      </c>
      <c r="L7" s="4">
        <f t="shared" si="0"/>
        <v>-180</v>
      </c>
      <c r="O7">
        <v>5</v>
      </c>
      <c r="P7">
        <v>-180</v>
      </c>
      <c r="Q7">
        <f t="shared" si="1"/>
        <v>180</v>
      </c>
    </row>
    <row r="8" spans="2:17">
      <c r="B8" s="4">
        <v>500</v>
      </c>
      <c r="C8" s="4">
        <v>0.4</v>
      </c>
      <c r="D8" s="4">
        <v>4</v>
      </c>
      <c r="E8" s="4">
        <v>-10</v>
      </c>
      <c r="F8" s="1"/>
      <c r="G8" s="1"/>
      <c r="H8" s="1"/>
      <c r="I8" s="4">
        <v>500</v>
      </c>
      <c r="J8" s="4">
        <v>0.04</v>
      </c>
      <c r="K8" s="4">
        <v>7.2</v>
      </c>
      <c r="L8" s="4">
        <f t="shared" si="0"/>
        <v>-180</v>
      </c>
      <c r="O8">
        <v>6</v>
      </c>
      <c r="P8">
        <v>-180</v>
      </c>
      <c r="Q8">
        <f t="shared" si="1"/>
        <v>180</v>
      </c>
    </row>
    <row r="9" spans="2:17">
      <c r="B9" s="4">
        <v>1000</v>
      </c>
      <c r="C9" s="4">
        <v>0.4</v>
      </c>
      <c r="D9" s="4">
        <v>4</v>
      </c>
      <c r="E9" s="4">
        <v>-10</v>
      </c>
      <c r="F9" s="1"/>
      <c r="G9" s="1"/>
      <c r="H9" s="1"/>
      <c r="I9" s="4">
        <v>1000</v>
      </c>
      <c r="J9" s="4">
        <v>0.04</v>
      </c>
      <c r="K9" s="4">
        <v>7.2</v>
      </c>
      <c r="L9" s="4">
        <f t="shared" si="0"/>
        <v>-180</v>
      </c>
      <c r="O9">
        <v>7</v>
      </c>
      <c r="P9">
        <v>-180</v>
      </c>
      <c r="Q9">
        <f t="shared" si="1"/>
        <v>180</v>
      </c>
    </row>
    <row r="10" spans="2:17">
      <c r="B10" s="4">
        <v>2000</v>
      </c>
      <c r="C10" s="4">
        <v>0.4</v>
      </c>
      <c r="D10" s="4">
        <v>4</v>
      </c>
      <c r="E10" s="4">
        <v>-10</v>
      </c>
      <c r="F10" s="1"/>
      <c r="G10" s="1"/>
      <c r="H10" s="1"/>
      <c r="I10" s="4">
        <v>2000</v>
      </c>
      <c r="J10" s="4">
        <v>0.04</v>
      </c>
      <c r="K10" s="4">
        <f>3.6*2</f>
        <v>7.2</v>
      </c>
      <c r="L10" s="4">
        <f t="shared" si="0"/>
        <v>-180</v>
      </c>
      <c r="O10">
        <v>8</v>
      </c>
      <c r="P10">
        <v>-180</v>
      </c>
      <c r="Q10">
        <f t="shared" si="1"/>
        <v>180</v>
      </c>
    </row>
    <row r="11" spans="2:17">
      <c r="B11" s="4">
        <v>5000</v>
      </c>
      <c r="C11" s="4">
        <v>0.4</v>
      </c>
      <c r="D11" s="4">
        <v>4</v>
      </c>
      <c r="E11" s="4">
        <v>-10</v>
      </c>
      <c r="F11" s="1"/>
      <c r="G11" s="1"/>
      <c r="H11" s="1"/>
      <c r="I11" s="4">
        <v>5000</v>
      </c>
      <c r="J11" s="4">
        <v>0.04</v>
      </c>
      <c r="K11" s="4">
        <f>2.8*2</f>
        <v>5.6</v>
      </c>
      <c r="L11" s="4">
        <f t="shared" si="0"/>
        <v>-140</v>
      </c>
      <c r="O11">
        <v>9</v>
      </c>
      <c r="P11">
        <v>-140</v>
      </c>
      <c r="Q11">
        <f t="shared" si="1"/>
        <v>140</v>
      </c>
    </row>
    <row r="12" spans="2:17">
      <c r="B12" s="4">
        <v>10000</v>
      </c>
      <c r="C12" s="4">
        <v>0.4</v>
      </c>
      <c r="D12" s="4">
        <v>4</v>
      </c>
      <c r="E12" s="4">
        <v>-10</v>
      </c>
      <c r="F12" s="1"/>
      <c r="G12" s="1"/>
      <c r="H12" s="1"/>
      <c r="I12" s="4">
        <v>10000</v>
      </c>
      <c r="J12" s="4">
        <v>0.04</v>
      </c>
      <c r="K12" s="4">
        <f>2*2</f>
        <v>4</v>
      </c>
      <c r="L12" s="4">
        <f t="shared" si="0"/>
        <v>-100</v>
      </c>
      <c r="O12">
        <v>10</v>
      </c>
      <c r="P12">
        <v>-100</v>
      </c>
      <c r="Q12">
        <f t="shared" si="1"/>
        <v>100</v>
      </c>
    </row>
    <row r="13" spans="2:17">
      <c r="B13" s="4">
        <v>20000</v>
      </c>
      <c r="C13" s="4">
        <v>0.4</v>
      </c>
      <c r="D13" s="4">
        <v>4</v>
      </c>
      <c r="E13" s="4">
        <v>-10</v>
      </c>
      <c r="F13" s="1"/>
      <c r="G13" s="1"/>
      <c r="H13" s="1"/>
      <c r="I13" s="4">
        <v>20000</v>
      </c>
      <c r="J13" s="4">
        <v>0.04</v>
      </c>
      <c r="K13" s="4">
        <f>2.2*1</f>
        <v>2.2000000000000002</v>
      </c>
      <c r="L13" s="4">
        <f t="shared" si="0"/>
        <v>-55</v>
      </c>
      <c r="O13">
        <v>11</v>
      </c>
      <c r="P13">
        <v>-55</v>
      </c>
      <c r="Q13">
        <f t="shared" si="1"/>
        <v>55</v>
      </c>
    </row>
    <row r="14" spans="2:17">
      <c r="B14" s="4">
        <v>50000</v>
      </c>
      <c r="C14" s="4">
        <v>0.4</v>
      </c>
      <c r="D14" s="4">
        <v>4</v>
      </c>
      <c r="E14" s="4">
        <v>-10</v>
      </c>
      <c r="F14" s="1"/>
      <c r="G14" s="1"/>
      <c r="H14" s="1"/>
      <c r="I14" s="4">
        <v>50000</v>
      </c>
      <c r="J14" s="4">
        <v>0.04</v>
      </c>
      <c r="K14" s="4">
        <f>1.8*0.5</f>
        <v>0.9</v>
      </c>
      <c r="L14" s="4">
        <f t="shared" si="0"/>
        <v>-22.5</v>
      </c>
      <c r="O14">
        <v>12</v>
      </c>
      <c r="P14">
        <v>-22.5</v>
      </c>
      <c r="Q14">
        <f t="shared" si="1"/>
        <v>22.5</v>
      </c>
    </row>
    <row r="15" spans="2:17">
      <c r="B15" s="4">
        <v>100000</v>
      </c>
      <c r="C15" s="4">
        <v>0.4</v>
      </c>
      <c r="D15" s="4">
        <v>2.6</v>
      </c>
      <c r="E15" s="4">
        <v>-6.5</v>
      </c>
      <c r="F15" s="1"/>
      <c r="G15" s="1"/>
      <c r="H15" s="1"/>
      <c r="I15" s="4">
        <v>100000</v>
      </c>
      <c r="J15" s="4">
        <v>0.04</v>
      </c>
      <c r="K15" s="4">
        <f>3.6*0.2</f>
        <v>0.72000000000000008</v>
      </c>
      <c r="L15" s="4">
        <f t="shared" si="0"/>
        <v>-18</v>
      </c>
      <c r="O15">
        <v>13</v>
      </c>
      <c r="P15">
        <v>-18</v>
      </c>
      <c r="Q15">
        <f t="shared" si="1"/>
        <v>18</v>
      </c>
    </row>
    <row r="16" spans="2:17">
      <c r="B16" s="4">
        <v>200000</v>
      </c>
      <c r="C16" s="4">
        <v>0.4</v>
      </c>
      <c r="D16" s="4">
        <v>1.4</v>
      </c>
      <c r="E16" s="4">
        <v>-3.5</v>
      </c>
      <c r="F16" s="1"/>
      <c r="G16" s="1"/>
      <c r="H16" s="1"/>
      <c r="I16" s="4">
        <v>200000</v>
      </c>
      <c r="J16" s="4">
        <v>0.04</v>
      </c>
      <c r="K16" s="4">
        <f>2.4*0.1</f>
        <v>0.24</v>
      </c>
      <c r="L16" s="4">
        <f t="shared" si="0"/>
        <v>-6</v>
      </c>
      <c r="O16">
        <v>14</v>
      </c>
      <c r="P16">
        <v>-6</v>
      </c>
      <c r="Q16">
        <f t="shared" si="1"/>
        <v>6</v>
      </c>
    </row>
    <row r="17" spans="2:17">
      <c r="B17" s="4">
        <v>500000</v>
      </c>
      <c r="C17" s="4">
        <v>0.4</v>
      </c>
      <c r="D17" s="4">
        <v>0.6</v>
      </c>
      <c r="E17" s="4">
        <v>-1.5</v>
      </c>
      <c r="F17" s="1"/>
      <c r="G17" s="1"/>
      <c r="H17" s="1"/>
      <c r="I17" s="4">
        <v>500000</v>
      </c>
      <c r="J17" s="4">
        <v>0.04</v>
      </c>
      <c r="K17" s="4">
        <f>0.1</f>
        <v>0.1</v>
      </c>
      <c r="L17" s="4">
        <f t="shared" si="0"/>
        <v>-2.5</v>
      </c>
      <c r="O17">
        <v>15</v>
      </c>
      <c r="P17">
        <v>-2.5</v>
      </c>
      <c r="Q17">
        <f t="shared" si="1"/>
        <v>2.5</v>
      </c>
    </row>
    <row r="18" spans="2:17">
      <c r="B18" s="4">
        <v>1000000</v>
      </c>
      <c r="C18" s="4">
        <v>0.4</v>
      </c>
      <c r="D18" s="4">
        <v>0.4</v>
      </c>
      <c r="E18" s="4">
        <v>-1</v>
      </c>
      <c r="F18" s="1"/>
      <c r="G18" s="1"/>
      <c r="H18" s="1"/>
      <c r="I18" s="4">
        <v>1000000</v>
      </c>
      <c r="J18" s="4">
        <v>0.04</v>
      </c>
      <c r="K18" s="4">
        <f>0.6*0.1</f>
        <v>0.06</v>
      </c>
      <c r="L18" s="4">
        <f t="shared" si="0"/>
        <v>-1.5</v>
      </c>
      <c r="O18">
        <v>16</v>
      </c>
      <c r="P18">
        <v>-1.5</v>
      </c>
      <c r="Q18">
        <f t="shared" si="1"/>
        <v>1.5</v>
      </c>
    </row>
    <row r="25" spans="2:17" ht="16.2">
      <c r="B25" t="s">
        <v>5</v>
      </c>
      <c r="C25" s="5" t="s">
        <v>3</v>
      </c>
      <c r="D25" t="s">
        <v>6</v>
      </c>
    </row>
    <row r="26" spans="2:17">
      <c r="B26">
        <v>1</v>
      </c>
      <c r="C26">
        <v>-10</v>
      </c>
      <c r="D26">
        <f>ABS(C26)</f>
        <v>10</v>
      </c>
    </row>
    <row r="27" spans="2:17">
      <c r="B27">
        <v>2</v>
      </c>
      <c r="C27">
        <v>-10</v>
      </c>
      <c r="D27">
        <f t="shared" ref="D27:D41" si="2">ABS(C27)</f>
        <v>10</v>
      </c>
    </row>
    <row r="28" spans="2:17">
      <c r="B28">
        <v>3</v>
      </c>
      <c r="C28">
        <v>-10</v>
      </c>
      <c r="D28">
        <f t="shared" si="2"/>
        <v>10</v>
      </c>
    </row>
    <row r="29" spans="2:17">
      <c r="B29">
        <v>4</v>
      </c>
      <c r="C29">
        <v>-10</v>
      </c>
      <c r="D29">
        <f t="shared" si="2"/>
        <v>10</v>
      </c>
    </row>
    <row r="30" spans="2:17">
      <c r="B30">
        <v>5</v>
      </c>
      <c r="C30">
        <v>-10</v>
      </c>
      <c r="D30">
        <f t="shared" si="2"/>
        <v>10</v>
      </c>
    </row>
    <row r="31" spans="2:17">
      <c r="B31">
        <v>6</v>
      </c>
      <c r="C31">
        <v>-10</v>
      </c>
      <c r="D31">
        <f t="shared" si="2"/>
        <v>10</v>
      </c>
    </row>
    <row r="32" spans="2:17">
      <c r="B32">
        <v>7</v>
      </c>
      <c r="C32">
        <v>-10</v>
      </c>
      <c r="D32">
        <f t="shared" si="2"/>
        <v>10</v>
      </c>
    </row>
    <row r="33" spans="2:4">
      <c r="B33">
        <v>8</v>
      </c>
      <c r="C33">
        <v>-10</v>
      </c>
      <c r="D33">
        <f t="shared" si="2"/>
        <v>10</v>
      </c>
    </row>
    <row r="34" spans="2:4">
      <c r="B34">
        <v>9</v>
      </c>
      <c r="C34">
        <v>-10</v>
      </c>
      <c r="D34">
        <f t="shared" si="2"/>
        <v>10</v>
      </c>
    </row>
    <row r="35" spans="2:4">
      <c r="B35">
        <v>10</v>
      </c>
      <c r="C35">
        <v>-10</v>
      </c>
      <c r="D35">
        <f t="shared" si="2"/>
        <v>10</v>
      </c>
    </row>
    <row r="36" spans="2:4">
      <c r="B36">
        <v>11</v>
      </c>
      <c r="C36">
        <v>-10</v>
      </c>
      <c r="D36">
        <f t="shared" si="2"/>
        <v>10</v>
      </c>
    </row>
    <row r="37" spans="2:4">
      <c r="B37">
        <v>12</v>
      </c>
      <c r="C37">
        <v>-10</v>
      </c>
      <c r="D37">
        <f t="shared" si="2"/>
        <v>10</v>
      </c>
    </row>
    <row r="38" spans="2:4">
      <c r="B38">
        <v>13</v>
      </c>
      <c r="C38">
        <v>-6.5</v>
      </c>
      <c r="D38">
        <f t="shared" si="2"/>
        <v>6.5</v>
      </c>
    </row>
    <row r="39" spans="2:4">
      <c r="B39">
        <v>14</v>
      </c>
      <c r="C39">
        <v>-3.5</v>
      </c>
      <c r="D39">
        <f t="shared" si="2"/>
        <v>3.5</v>
      </c>
    </row>
    <row r="40" spans="2:4">
      <c r="B40">
        <v>15</v>
      </c>
      <c r="C40">
        <v>-1.5</v>
      </c>
      <c r="D40">
        <f t="shared" si="2"/>
        <v>1.5</v>
      </c>
    </row>
    <row r="41" spans="2:4">
      <c r="B41">
        <v>16</v>
      </c>
      <c r="C41">
        <v>-1</v>
      </c>
      <c r="D41">
        <f t="shared" si="2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2018-11-14T19:07:13Z</dcterms:created>
  <dcterms:modified xsi:type="dcterms:W3CDTF">2018-11-15T17:52:04Z</dcterms:modified>
</cp:coreProperties>
</file>