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 activeTab="2"/>
  </bookViews>
  <sheets>
    <sheet name="Arkusz1" sheetId="1" r:id="rId1"/>
    <sheet name="Arkusz2" sheetId="2" r:id="rId2"/>
    <sheet name="Arkusz3" sheetId="3" r:id="rId3"/>
  </sheets>
  <calcPr calcId="124519"/>
</workbook>
</file>

<file path=xl/calcChain.xml><?xml version="1.0" encoding="utf-8"?>
<calcChain xmlns="http://schemas.openxmlformats.org/spreadsheetml/2006/main">
  <c r="I9" i="3"/>
  <c r="I10"/>
  <c r="I11"/>
  <c r="J11" s="1"/>
  <c r="I12"/>
  <c r="J12" s="1"/>
  <c r="I13"/>
  <c r="I14"/>
  <c r="I15"/>
  <c r="L15" s="1"/>
  <c r="M15" s="1"/>
  <c r="I16"/>
  <c r="L16" s="1"/>
  <c r="M16" s="1"/>
  <c r="I17"/>
  <c r="I18"/>
  <c r="I19"/>
  <c r="J19" s="1"/>
  <c r="I20"/>
  <c r="J20" s="1"/>
  <c r="L9"/>
  <c r="M9" s="1"/>
  <c r="J10"/>
  <c r="J13"/>
  <c r="J14"/>
  <c r="J17"/>
  <c r="J18"/>
  <c r="L17"/>
  <c r="M17" s="1"/>
  <c r="L20"/>
  <c r="M20" s="1"/>
  <c r="G6" i="2"/>
  <c r="H6"/>
  <c r="I6"/>
  <c r="J6"/>
  <c r="K6"/>
  <c r="L6"/>
  <c r="M6"/>
  <c r="N6"/>
  <c r="O6"/>
  <c r="P6"/>
  <c r="Q6"/>
  <c r="F6"/>
  <c r="J15" i="3" l="1"/>
  <c r="J16"/>
  <c r="L11"/>
  <c r="M11" s="1"/>
  <c r="L12"/>
  <c r="M12" s="1"/>
  <c r="L19"/>
  <c r="M19" s="1"/>
  <c r="L13"/>
  <c r="M13" s="1"/>
  <c r="L18"/>
  <c r="M18" s="1"/>
  <c r="L14"/>
  <c r="M14" s="1"/>
  <c r="L10"/>
  <c r="M10" s="1"/>
  <c r="J9"/>
  <c r="B2" i="2"/>
  <c r="B13"/>
  <c r="B12"/>
  <c r="B11"/>
  <c r="B10"/>
  <c r="B9"/>
  <c r="B8"/>
  <c r="B7"/>
  <c r="B6"/>
  <c r="B5"/>
  <c r="B4"/>
  <c r="B3"/>
  <c r="B39" i="1"/>
  <c r="B40"/>
  <c r="B41"/>
  <c r="B42"/>
  <c r="B43"/>
  <c r="B44"/>
  <c r="B45"/>
  <c r="B46"/>
  <c r="B47"/>
  <c r="B48"/>
  <c r="B49"/>
  <c r="B38"/>
  <c r="J32" l="1"/>
  <c r="J31"/>
  <c r="J30"/>
  <c r="J29"/>
  <c r="J28"/>
  <c r="J27"/>
  <c r="J26"/>
  <c r="J25"/>
  <c r="J24"/>
  <c r="J23"/>
  <c r="J22"/>
  <c r="J21"/>
  <c r="N30" l="1"/>
  <c r="N29"/>
  <c r="N28"/>
  <c r="N27"/>
  <c r="N26"/>
  <c r="N25"/>
  <c r="N24"/>
  <c r="N23"/>
  <c r="N22"/>
  <c r="N21"/>
  <c r="N20"/>
  <c r="N19"/>
  <c r="P19" s="1"/>
  <c r="K6"/>
  <c r="K7"/>
  <c r="K8"/>
  <c r="K9"/>
  <c r="K10"/>
  <c r="K11"/>
  <c r="K12"/>
  <c r="K13"/>
  <c r="K14"/>
  <c r="K15"/>
  <c r="K16"/>
  <c r="K5"/>
  <c r="G19"/>
  <c r="E30"/>
  <c r="E29"/>
  <c r="E28"/>
  <c r="E27"/>
  <c r="E26"/>
  <c r="E25"/>
  <c r="E24"/>
  <c r="E23"/>
  <c r="E22"/>
  <c r="E21"/>
  <c r="E20"/>
  <c r="E19"/>
  <c r="C19"/>
  <c r="A20"/>
  <c r="A21"/>
  <c r="A22"/>
  <c r="A23"/>
  <c r="A24"/>
  <c r="A25"/>
  <c r="A26"/>
  <c r="A27"/>
  <c r="A28"/>
  <c r="A29"/>
  <c r="A30"/>
  <c r="A19"/>
</calcChain>
</file>

<file path=xl/sharedStrings.xml><?xml version="1.0" encoding="utf-8"?>
<sst xmlns="http://schemas.openxmlformats.org/spreadsheetml/2006/main" count="49" uniqueCount="24">
  <si>
    <t>cw2a</t>
  </si>
  <si>
    <t>cw2b</t>
  </si>
  <si>
    <t>srednia zaleznosc</t>
  </si>
  <si>
    <t>stosunki</t>
  </si>
  <si>
    <t>cw3a</t>
  </si>
  <si>
    <t>I (mA)</t>
  </si>
  <si>
    <t>I (A)</t>
  </si>
  <si>
    <t>cw3b</t>
  </si>
  <si>
    <t>cw5 50Hz</t>
  </si>
  <si>
    <t>cw5 500Hz</t>
  </si>
  <si>
    <r>
      <t>U</t>
    </r>
    <r>
      <rPr>
        <vertAlign val="subscript"/>
        <sz val="11"/>
        <color theme="1"/>
        <rFont val="Calibri"/>
        <family val="2"/>
        <charset val="238"/>
        <scheme val="minor"/>
      </rPr>
      <t xml:space="preserve">1 </t>
    </r>
    <r>
      <rPr>
        <sz val="11"/>
        <color theme="1"/>
        <rFont val="Calibri"/>
        <family val="2"/>
        <scheme val="minor"/>
      </rPr>
      <t>(V)</t>
    </r>
  </si>
  <si>
    <r>
      <t>U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scheme val="minor"/>
      </rPr>
      <t xml:space="preserve"> (V)</t>
    </r>
  </si>
  <si>
    <r>
      <t>U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scheme val="minor"/>
      </rPr>
      <t xml:space="preserve"> (V)</t>
    </r>
  </si>
  <si>
    <r>
      <t>U</t>
    </r>
    <r>
      <rPr>
        <vertAlign val="subscript"/>
        <sz val="11"/>
        <color theme="1"/>
        <rFont val="Calibri"/>
        <family val="2"/>
        <charset val="238"/>
        <scheme val="minor"/>
      </rPr>
      <t>R</t>
    </r>
    <r>
      <rPr>
        <sz val="11"/>
        <color theme="1"/>
        <rFont val="Calibri"/>
        <family val="2"/>
        <scheme val="minor"/>
      </rPr>
      <t xml:space="preserve"> (V)</t>
    </r>
  </si>
  <si>
    <r>
      <t>U</t>
    </r>
    <r>
      <rPr>
        <vertAlign val="subscript"/>
        <sz val="11"/>
        <color theme="1"/>
        <rFont val="Calibri"/>
        <family val="2"/>
        <charset val="238"/>
        <scheme val="minor"/>
      </rPr>
      <t xml:space="preserve">Z </t>
    </r>
    <r>
      <rPr>
        <sz val="11"/>
        <color theme="1"/>
        <rFont val="Calibri"/>
        <family val="2"/>
        <scheme val="minor"/>
      </rPr>
      <t>(V)</t>
    </r>
  </si>
  <si>
    <t>3b</t>
  </si>
  <si>
    <t>prady</t>
  </si>
  <si>
    <t>moc</t>
  </si>
  <si>
    <t>P(mW)</t>
  </si>
  <si>
    <t>I(A)</t>
  </si>
  <si>
    <t>I(mA)</t>
  </si>
  <si>
    <t>P(W)</t>
  </si>
  <si>
    <t>P (mW)</t>
  </si>
  <si>
    <t>cw4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</si>
</sst>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T49"/>
  <sheetViews>
    <sheetView zoomScale="70" zoomScaleNormal="70" workbookViewId="0">
      <selection activeCell="B38" sqref="B38"/>
    </sheetView>
  </sheetViews>
  <sheetFormatPr defaultRowHeight="14.4"/>
  <cols>
    <col min="1" max="1" width="6.109375" customWidth="1"/>
    <col min="2" max="2" width="6.6640625" customWidth="1"/>
    <col min="3" max="3" width="16.44140625" customWidth="1"/>
    <col min="5" max="5" width="6" customWidth="1"/>
    <col min="6" max="6" width="7" customWidth="1"/>
    <col min="7" max="7" width="17.33203125" customWidth="1"/>
    <col min="9" max="9" width="6.109375" customWidth="1"/>
    <col min="10" max="10" width="7.5546875" customWidth="1"/>
    <col min="11" max="11" width="7.33203125" customWidth="1"/>
    <col min="14" max="14" width="5.6640625" customWidth="1"/>
    <col min="15" max="15" width="6.5546875" customWidth="1"/>
    <col min="16" max="16" width="15.109375" customWidth="1"/>
    <col min="18" max="18" width="6.109375" customWidth="1"/>
    <col min="19" max="19" width="6.5546875" customWidth="1"/>
    <col min="20" max="20" width="6.33203125" customWidth="1"/>
  </cols>
  <sheetData>
    <row r="2" spans="1:20">
      <c r="A2" t="s">
        <v>0</v>
      </c>
      <c r="E2" t="s">
        <v>1</v>
      </c>
      <c r="I2" t="s">
        <v>4</v>
      </c>
      <c r="N2" t="s">
        <v>7</v>
      </c>
      <c r="R2" t="s">
        <v>8</v>
      </c>
    </row>
    <row r="4" spans="1:20" ht="15.6">
      <c r="A4" s="2" t="s">
        <v>10</v>
      </c>
      <c r="B4" s="2" t="s">
        <v>11</v>
      </c>
      <c r="C4" s="3"/>
      <c r="D4" s="3"/>
      <c r="E4" s="2" t="s">
        <v>10</v>
      </c>
      <c r="F4" s="2" t="s">
        <v>11</v>
      </c>
      <c r="G4" s="3"/>
      <c r="H4" s="3"/>
      <c r="I4" s="2" t="s">
        <v>12</v>
      </c>
      <c r="J4" s="2" t="s">
        <v>5</v>
      </c>
      <c r="K4" s="2" t="s">
        <v>6</v>
      </c>
      <c r="L4" s="3"/>
      <c r="M4" s="3"/>
      <c r="N4" s="2" t="s">
        <v>10</v>
      </c>
      <c r="O4" s="2" t="s">
        <v>11</v>
      </c>
      <c r="P4" s="3"/>
      <c r="Q4" s="3"/>
      <c r="R4" s="2" t="s">
        <v>10</v>
      </c>
      <c r="S4" s="2" t="s">
        <v>13</v>
      </c>
      <c r="T4" s="2" t="s">
        <v>14</v>
      </c>
    </row>
    <row r="5" spans="1:20">
      <c r="A5">
        <v>1</v>
      </c>
      <c r="B5">
        <v>0.48</v>
      </c>
      <c r="E5">
        <v>1</v>
      </c>
      <c r="F5">
        <v>0.64</v>
      </c>
      <c r="I5">
        <v>1</v>
      </c>
      <c r="J5">
        <v>1</v>
      </c>
      <c r="K5">
        <f>(J5*0.001)</f>
        <v>1E-3</v>
      </c>
      <c r="N5">
        <v>1</v>
      </c>
      <c r="O5">
        <v>0.81</v>
      </c>
      <c r="R5">
        <v>2</v>
      </c>
      <c r="S5">
        <v>1.43</v>
      </c>
      <c r="T5">
        <v>1.38</v>
      </c>
    </row>
    <row r="6" spans="1:20">
      <c r="A6">
        <v>1.5</v>
      </c>
      <c r="B6">
        <v>0.75</v>
      </c>
      <c r="E6">
        <v>1.5</v>
      </c>
      <c r="F6">
        <v>1.1599999999999999</v>
      </c>
      <c r="I6">
        <v>1.5</v>
      </c>
      <c r="J6">
        <v>1.5</v>
      </c>
      <c r="K6">
        <f t="shared" ref="K6:K16" si="0">(J6*0.001)</f>
        <v>1.5E-3</v>
      </c>
      <c r="N6">
        <v>1.5</v>
      </c>
      <c r="O6">
        <v>1.21</v>
      </c>
      <c r="R6">
        <v>4</v>
      </c>
      <c r="S6">
        <v>2.86</v>
      </c>
      <c r="T6">
        <v>2.78</v>
      </c>
    </row>
    <row r="7" spans="1:20">
      <c r="A7">
        <v>2</v>
      </c>
      <c r="B7">
        <v>0.99</v>
      </c>
      <c r="E7">
        <v>2</v>
      </c>
      <c r="F7">
        <v>1.7</v>
      </c>
      <c r="I7">
        <v>2</v>
      </c>
      <c r="J7">
        <v>2</v>
      </c>
      <c r="K7">
        <f t="shared" si="0"/>
        <v>2E-3</v>
      </c>
      <c r="N7">
        <v>2</v>
      </c>
      <c r="O7">
        <v>1.6</v>
      </c>
      <c r="R7">
        <v>6</v>
      </c>
      <c r="S7">
        <v>4.3</v>
      </c>
      <c r="T7">
        <v>4.1900000000000004</v>
      </c>
    </row>
    <row r="8" spans="1:20">
      <c r="A8">
        <v>2.5</v>
      </c>
      <c r="B8">
        <v>1.24</v>
      </c>
      <c r="E8">
        <v>2.5</v>
      </c>
      <c r="F8">
        <v>2.2599999999999998</v>
      </c>
      <c r="I8">
        <v>2.5</v>
      </c>
      <c r="J8">
        <v>2.5</v>
      </c>
      <c r="K8">
        <f t="shared" si="0"/>
        <v>2.5000000000000001E-3</v>
      </c>
      <c r="N8">
        <v>2.5</v>
      </c>
      <c r="O8">
        <v>2.02</v>
      </c>
    </row>
    <row r="9" spans="1:20">
      <c r="A9">
        <v>3</v>
      </c>
      <c r="B9">
        <v>1.48</v>
      </c>
      <c r="E9">
        <v>3</v>
      </c>
      <c r="F9">
        <v>2.84</v>
      </c>
      <c r="I9">
        <v>3</v>
      </c>
      <c r="J9">
        <v>3</v>
      </c>
      <c r="K9">
        <f t="shared" si="0"/>
        <v>3.0000000000000001E-3</v>
      </c>
      <c r="N9">
        <v>3</v>
      </c>
      <c r="O9">
        <v>2.42</v>
      </c>
      <c r="R9" t="s">
        <v>9</v>
      </c>
    </row>
    <row r="10" spans="1:20">
      <c r="A10">
        <v>3.5</v>
      </c>
      <c r="B10">
        <v>1.74</v>
      </c>
      <c r="E10">
        <v>3.5</v>
      </c>
      <c r="F10">
        <v>3.3</v>
      </c>
      <c r="I10">
        <v>3.5</v>
      </c>
      <c r="J10">
        <v>3.5</v>
      </c>
      <c r="K10">
        <f t="shared" si="0"/>
        <v>3.5000000000000001E-3</v>
      </c>
      <c r="N10">
        <v>3.5</v>
      </c>
      <c r="O10">
        <v>2.8</v>
      </c>
    </row>
    <row r="11" spans="1:20" ht="15.6">
      <c r="A11">
        <v>4</v>
      </c>
      <c r="B11">
        <v>1.99</v>
      </c>
      <c r="E11">
        <v>4</v>
      </c>
      <c r="F11">
        <v>3.92</v>
      </c>
      <c r="I11">
        <v>4</v>
      </c>
      <c r="J11">
        <v>4</v>
      </c>
      <c r="K11">
        <f t="shared" si="0"/>
        <v>4.0000000000000001E-3</v>
      </c>
      <c r="N11">
        <v>4</v>
      </c>
      <c r="O11">
        <v>3.19</v>
      </c>
      <c r="R11" s="1" t="s">
        <v>10</v>
      </c>
      <c r="S11" s="1" t="s">
        <v>13</v>
      </c>
      <c r="T11" s="1" t="s">
        <v>14</v>
      </c>
    </row>
    <row r="12" spans="1:20">
      <c r="A12">
        <v>4.5</v>
      </c>
      <c r="B12">
        <v>2.2400000000000002</v>
      </c>
      <c r="E12">
        <v>4.5</v>
      </c>
      <c r="F12">
        <v>4.42</v>
      </c>
      <c r="I12">
        <v>4.5</v>
      </c>
      <c r="J12">
        <v>4.5</v>
      </c>
      <c r="K12">
        <f t="shared" si="0"/>
        <v>4.5000000000000005E-3</v>
      </c>
      <c r="N12">
        <v>4.5</v>
      </c>
      <c r="O12">
        <v>3.59</v>
      </c>
      <c r="R12">
        <v>2</v>
      </c>
      <c r="S12">
        <v>2</v>
      </c>
      <c r="T12">
        <v>0.18</v>
      </c>
    </row>
    <row r="13" spans="1:20">
      <c r="A13">
        <v>5</v>
      </c>
      <c r="B13">
        <v>2.5</v>
      </c>
      <c r="E13">
        <v>5</v>
      </c>
      <c r="F13">
        <v>4.93</v>
      </c>
      <c r="I13">
        <v>5</v>
      </c>
      <c r="J13">
        <v>5</v>
      </c>
      <c r="K13">
        <f t="shared" si="0"/>
        <v>5.0000000000000001E-3</v>
      </c>
      <c r="N13">
        <v>5</v>
      </c>
      <c r="O13">
        <v>4.09</v>
      </c>
      <c r="R13">
        <v>4</v>
      </c>
      <c r="S13">
        <v>3.99</v>
      </c>
      <c r="T13">
        <v>0.37</v>
      </c>
    </row>
    <row r="14" spans="1:20">
      <c r="A14">
        <v>5.5</v>
      </c>
      <c r="B14">
        <v>2.77</v>
      </c>
      <c r="E14">
        <v>5.5</v>
      </c>
      <c r="F14">
        <v>5.46</v>
      </c>
      <c r="I14">
        <v>5.5</v>
      </c>
      <c r="J14">
        <v>5.5</v>
      </c>
      <c r="K14">
        <f t="shared" si="0"/>
        <v>5.4999999999999997E-3</v>
      </c>
      <c r="N14">
        <v>5.5</v>
      </c>
      <c r="O14">
        <v>4.3899999999999997</v>
      </c>
      <c r="R14">
        <v>6</v>
      </c>
      <c r="S14">
        <v>5.98</v>
      </c>
      <c r="T14">
        <v>0.56000000000000005</v>
      </c>
    </row>
    <row r="15" spans="1:20">
      <c r="A15">
        <v>6</v>
      </c>
      <c r="B15">
        <v>3</v>
      </c>
      <c r="E15">
        <v>6</v>
      </c>
      <c r="F15">
        <v>5.99</v>
      </c>
      <c r="I15">
        <v>6</v>
      </c>
      <c r="J15">
        <v>6</v>
      </c>
      <c r="K15">
        <f t="shared" si="0"/>
        <v>6.0000000000000001E-3</v>
      </c>
      <c r="N15">
        <v>6</v>
      </c>
      <c r="O15">
        <v>4.8499999999999996</v>
      </c>
    </row>
    <row r="16" spans="1:20">
      <c r="A16">
        <v>6.5</v>
      </c>
      <c r="B16">
        <v>3.26</v>
      </c>
      <c r="E16">
        <v>6.5</v>
      </c>
      <c r="F16">
        <v>6.5</v>
      </c>
      <c r="I16">
        <v>6.5</v>
      </c>
      <c r="J16">
        <v>6.5</v>
      </c>
      <c r="K16">
        <f t="shared" si="0"/>
        <v>6.5000000000000006E-3</v>
      </c>
      <c r="N16">
        <v>6.5</v>
      </c>
      <c r="O16">
        <v>5.19</v>
      </c>
    </row>
    <row r="18" spans="1:16">
      <c r="A18" t="s">
        <v>3</v>
      </c>
      <c r="C18" t="s">
        <v>2</v>
      </c>
      <c r="E18" t="s">
        <v>3</v>
      </c>
      <c r="G18" t="s">
        <v>2</v>
      </c>
      <c r="N18" t="s">
        <v>3</v>
      </c>
      <c r="P18" t="s">
        <v>2</v>
      </c>
    </row>
    <row r="19" spans="1:16">
      <c r="A19">
        <f>A5/B5</f>
        <v>2.0833333333333335</v>
      </c>
      <c r="C19">
        <f>AVERAGE(A19:A30)</f>
        <v>2.0130490904867258</v>
      </c>
      <c r="E19">
        <f>E5/F5</f>
        <v>1.5625</v>
      </c>
      <c r="G19">
        <f>AVERAGE(E19:E30)</f>
        <v>1.1097428971414673</v>
      </c>
      <c r="N19">
        <f>N5/O5</f>
        <v>1.2345679012345678</v>
      </c>
      <c r="P19">
        <f>AVERAGE(N19:N30)</f>
        <v>1.2436495036565567</v>
      </c>
    </row>
    <row r="20" spans="1:16" ht="15.6">
      <c r="A20">
        <f t="shared" ref="A20:A30" si="1">A6/B6</f>
        <v>2</v>
      </c>
      <c r="E20">
        <f t="shared" ref="E20:E30" si="2">E6/F6</f>
        <v>1.2931034482758621</v>
      </c>
      <c r="I20" s="2" t="s">
        <v>12</v>
      </c>
      <c r="J20" s="2" t="s">
        <v>6</v>
      </c>
      <c r="N20">
        <f t="shared" ref="N20:N30" si="3">N6/O6</f>
        <v>1.2396694214876034</v>
      </c>
    </row>
    <row r="21" spans="1:16">
      <c r="A21">
        <f t="shared" si="1"/>
        <v>2.0202020202020203</v>
      </c>
      <c r="E21">
        <f t="shared" si="2"/>
        <v>1.1764705882352942</v>
      </c>
      <c r="I21">
        <v>1</v>
      </c>
      <c r="J21">
        <f>(I21*0.001)</f>
        <v>1E-3</v>
      </c>
      <c r="N21">
        <f t="shared" si="3"/>
        <v>1.25</v>
      </c>
    </row>
    <row r="22" spans="1:16">
      <c r="A22">
        <f t="shared" si="1"/>
        <v>2.0161290322580645</v>
      </c>
      <c r="E22">
        <f t="shared" si="2"/>
        <v>1.1061946902654869</v>
      </c>
      <c r="I22">
        <v>1.5</v>
      </c>
      <c r="J22">
        <f t="shared" ref="J22:J32" si="4">(I22*0.001)</f>
        <v>1.5E-3</v>
      </c>
      <c r="N22">
        <f t="shared" si="3"/>
        <v>1.2376237623762376</v>
      </c>
    </row>
    <row r="23" spans="1:16">
      <c r="A23">
        <f t="shared" si="1"/>
        <v>2.0270270270270272</v>
      </c>
      <c r="E23">
        <f t="shared" si="2"/>
        <v>1.0563380281690142</v>
      </c>
      <c r="I23">
        <v>2</v>
      </c>
      <c r="J23">
        <f t="shared" si="4"/>
        <v>2E-3</v>
      </c>
      <c r="N23">
        <f t="shared" si="3"/>
        <v>1.2396694214876034</v>
      </c>
    </row>
    <row r="24" spans="1:16">
      <c r="A24">
        <f t="shared" si="1"/>
        <v>2.0114942528735633</v>
      </c>
      <c r="E24">
        <f t="shared" si="2"/>
        <v>1.0606060606060606</v>
      </c>
      <c r="I24">
        <v>2.5</v>
      </c>
      <c r="J24">
        <f t="shared" si="4"/>
        <v>2.5000000000000001E-3</v>
      </c>
      <c r="N24">
        <f t="shared" si="3"/>
        <v>1.25</v>
      </c>
    </row>
    <row r="25" spans="1:16">
      <c r="A25">
        <f t="shared" si="1"/>
        <v>2.0100502512562812</v>
      </c>
      <c r="E25">
        <f t="shared" si="2"/>
        <v>1.0204081632653061</v>
      </c>
      <c r="I25">
        <v>3</v>
      </c>
      <c r="J25">
        <f t="shared" si="4"/>
        <v>3.0000000000000001E-3</v>
      </c>
      <c r="N25">
        <f t="shared" si="3"/>
        <v>1.2539184952978057</v>
      </c>
    </row>
    <row r="26" spans="1:16">
      <c r="A26">
        <f t="shared" si="1"/>
        <v>2.0089285714285712</v>
      </c>
      <c r="E26">
        <f t="shared" si="2"/>
        <v>1.0180995475113122</v>
      </c>
      <c r="I26">
        <v>3.5</v>
      </c>
      <c r="J26">
        <f t="shared" si="4"/>
        <v>3.5000000000000001E-3</v>
      </c>
      <c r="N26">
        <f t="shared" si="3"/>
        <v>1.2534818941504178</v>
      </c>
    </row>
    <row r="27" spans="1:16">
      <c r="A27">
        <f t="shared" si="1"/>
        <v>2</v>
      </c>
      <c r="E27">
        <f t="shared" si="2"/>
        <v>1.0141987829614605</v>
      </c>
      <c r="I27">
        <v>4</v>
      </c>
      <c r="J27">
        <f t="shared" si="4"/>
        <v>4.0000000000000001E-3</v>
      </c>
      <c r="N27">
        <f t="shared" si="3"/>
        <v>1.2224938875305624</v>
      </c>
    </row>
    <row r="28" spans="1:16">
      <c r="A28">
        <f t="shared" si="1"/>
        <v>1.9855595667870036</v>
      </c>
      <c r="E28">
        <f t="shared" si="2"/>
        <v>1.0073260073260073</v>
      </c>
      <c r="I28">
        <v>4.5</v>
      </c>
      <c r="J28">
        <f t="shared" si="4"/>
        <v>4.5000000000000005E-3</v>
      </c>
      <c r="N28">
        <f t="shared" si="3"/>
        <v>1.2528473804100229</v>
      </c>
    </row>
    <row r="29" spans="1:16">
      <c r="A29">
        <f t="shared" si="1"/>
        <v>2</v>
      </c>
      <c r="E29">
        <f t="shared" si="2"/>
        <v>1.001669449081803</v>
      </c>
      <c r="I29">
        <v>5</v>
      </c>
      <c r="J29">
        <f t="shared" si="4"/>
        <v>5.0000000000000001E-3</v>
      </c>
      <c r="N29">
        <f t="shared" si="3"/>
        <v>1.2371134020618557</v>
      </c>
    </row>
    <row r="30" spans="1:16">
      <c r="A30">
        <f t="shared" si="1"/>
        <v>1.9938650306748467</v>
      </c>
      <c r="E30">
        <f t="shared" si="2"/>
        <v>1</v>
      </c>
      <c r="I30">
        <v>5.5</v>
      </c>
      <c r="J30">
        <f t="shared" si="4"/>
        <v>5.4999999999999997E-3</v>
      </c>
      <c r="N30">
        <f t="shared" si="3"/>
        <v>1.2524084778420037</v>
      </c>
    </row>
    <row r="31" spans="1:16">
      <c r="I31">
        <v>6</v>
      </c>
      <c r="J31">
        <f t="shared" si="4"/>
        <v>6.0000000000000001E-3</v>
      </c>
    </row>
    <row r="32" spans="1:16">
      <c r="I32">
        <v>6.5</v>
      </c>
      <c r="J32">
        <f t="shared" si="4"/>
        <v>6.5000000000000006E-3</v>
      </c>
    </row>
    <row r="36" spans="1:2">
      <c r="A36" t="s">
        <v>15</v>
      </c>
      <c r="B36" t="s">
        <v>16</v>
      </c>
    </row>
    <row r="37" spans="1:2" ht="15.6">
      <c r="A37" s="1" t="s">
        <v>12</v>
      </c>
      <c r="B37" s="1" t="s">
        <v>5</v>
      </c>
    </row>
    <row r="38" spans="1:2">
      <c r="A38">
        <v>1</v>
      </c>
      <c r="B38">
        <f>(A38/5000)*1000</f>
        <v>0.2</v>
      </c>
    </row>
    <row r="39" spans="1:2">
      <c r="A39">
        <v>1.5</v>
      </c>
      <c r="B39">
        <f t="shared" ref="B39:B49" si="5">(A39/5000)*1000</f>
        <v>0.3</v>
      </c>
    </row>
    <row r="40" spans="1:2">
      <c r="A40">
        <v>2</v>
      </c>
      <c r="B40">
        <f t="shared" si="5"/>
        <v>0.4</v>
      </c>
    </row>
    <row r="41" spans="1:2">
      <c r="A41">
        <v>2.5</v>
      </c>
      <c r="B41">
        <f t="shared" si="5"/>
        <v>0.5</v>
      </c>
    </row>
    <row r="42" spans="1:2">
      <c r="A42">
        <v>3</v>
      </c>
      <c r="B42">
        <f t="shared" si="5"/>
        <v>0.6</v>
      </c>
    </row>
    <row r="43" spans="1:2">
      <c r="A43">
        <v>3.5</v>
      </c>
      <c r="B43">
        <f t="shared" si="5"/>
        <v>0.7</v>
      </c>
    </row>
    <row r="44" spans="1:2">
      <c r="A44">
        <v>4</v>
      </c>
      <c r="B44">
        <f t="shared" si="5"/>
        <v>0.8</v>
      </c>
    </row>
    <row r="45" spans="1:2">
      <c r="A45">
        <v>4.5</v>
      </c>
      <c r="B45">
        <f t="shared" si="5"/>
        <v>0.9</v>
      </c>
    </row>
    <row r="46" spans="1:2">
      <c r="A46">
        <v>5</v>
      </c>
      <c r="B46">
        <f t="shared" si="5"/>
        <v>1</v>
      </c>
    </row>
    <row r="47" spans="1:2">
      <c r="A47">
        <v>5.5</v>
      </c>
      <c r="B47">
        <f t="shared" si="5"/>
        <v>1.1000000000000001</v>
      </c>
    </row>
    <row r="48" spans="1:2">
      <c r="A48">
        <v>6</v>
      </c>
      <c r="B48">
        <f t="shared" si="5"/>
        <v>1.2</v>
      </c>
    </row>
    <row r="49" spans="1:2">
      <c r="A49">
        <v>6.5</v>
      </c>
      <c r="B49">
        <f t="shared" si="5"/>
        <v>1.3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3"/>
  <sheetViews>
    <sheetView zoomScale="130" zoomScaleNormal="130" workbookViewId="0">
      <selection activeCell="C23" sqref="C23"/>
    </sheetView>
  </sheetViews>
  <sheetFormatPr defaultRowHeight="14.4"/>
  <cols>
    <col min="5" max="5" width="6.21875" customWidth="1"/>
    <col min="6" max="8" width="4.77734375" customWidth="1"/>
    <col min="9" max="9" width="3" customWidth="1"/>
    <col min="10" max="13" width="4.77734375" customWidth="1"/>
    <col min="14" max="14" width="3.109375" customWidth="1"/>
    <col min="15" max="17" width="4.77734375" customWidth="1"/>
  </cols>
  <sheetData>
    <row r="1" spans="1:17" ht="15.6">
      <c r="A1" s="1" t="s">
        <v>12</v>
      </c>
      <c r="B1" s="1" t="s">
        <v>5</v>
      </c>
    </row>
    <row r="2" spans="1:17">
      <c r="A2">
        <v>1</v>
      </c>
      <c r="B2">
        <f>(A2/5000)*1000</f>
        <v>0.2</v>
      </c>
    </row>
    <row r="3" spans="1:17" ht="15.6">
      <c r="A3">
        <v>1.5</v>
      </c>
      <c r="B3">
        <f t="shared" ref="B3:B13" si="0">(A3/5000)*1000</f>
        <v>0.3</v>
      </c>
      <c r="E3" s="1" t="s">
        <v>12</v>
      </c>
      <c r="F3">
        <v>1</v>
      </c>
      <c r="G3">
        <v>1.5</v>
      </c>
      <c r="H3">
        <v>2</v>
      </c>
      <c r="I3">
        <v>2.5</v>
      </c>
      <c r="J3">
        <v>3</v>
      </c>
      <c r="K3">
        <v>3.5</v>
      </c>
      <c r="L3">
        <v>4</v>
      </c>
      <c r="M3">
        <v>4.5</v>
      </c>
      <c r="N3">
        <v>5</v>
      </c>
      <c r="O3">
        <v>5.5</v>
      </c>
      <c r="P3">
        <v>6</v>
      </c>
      <c r="Q3">
        <v>6.5</v>
      </c>
    </row>
    <row r="4" spans="1:17">
      <c r="A4">
        <v>2</v>
      </c>
      <c r="B4">
        <f t="shared" si="0"/>
        <v>0.4</v>
      </c>
      <c r="E4" s="1" t="s">
        <v>5</v>
      </c>
      <c r="F4">
        <v>0.2</v>
      </c>
      <c r="G4">
        <v>0.3</v>
      </c>
      <c r="H4">
        <v>0.4</v>
      </c>
      <c r="I4">
        <v>0.5</v>
      </c>
      <c r="J4">
        <v>0.6</v>
      </c>
      <c r="K4">
        <v>0.7</v>
      </c>
      <c r="L4">
        <v>0.8</v>
      </c>
      <c r="M4">
        <v>0.9</v>
      </c>
      <c r="N4">
        <v>1</v>
      </c>
      <c r="O4">
        <v>1.1000000000000001</v>
      </c>
      <c r="P4">
        <v>1.2</v>
      </c>
      <c r="Q4">
        <v>1.3</v>
      </c>
    </row>
    <row r="5" spans="1:17">
      <c r="A5">
        <v>2.5</v>
      </c>
      <c r="B5">
        <f t="shared" si="0"/>
        <v>0.5</v>
      </c>
    </row>
    <row r="6" spans="1:17">
      <c r="A6">
        <v>3</v>
      </c>
      <c r="B6">
        <f t="shared" si="0"/>
        <v>0.6</v>
      </c>
      <c r="D6" t="s">
        <v>17</v>
      </c>
      <c r="E6" s="1" t="s">
        <v>18</v>
      </c>
      <c r="F6">
        <f>(F4*F4*0.001)*4000</f>
        <v>0.16000000000000003</v>
      </c>
      <c r="G6">
        <f t="shared" ref="G6:Q6" si="1">(G4*G4*0.001)*4000</f>
        <v>0.36</v>
      </c>
      <c r="H6">
        <f t="shared" si="1"/>
        <v>0.64000000000000012</v>
      </c>
      <c r="I6">
        <f t="shared" si="1"/>
        <v>1</v>
      </c>
      <c r="J6">
        <f t="shared" si="1"/>
        <v>1.44</v>
      </c>
      <c r="K6">
        <f t="shared" si="1"/>
        <v>1.96</v>
      </c>
      <c r="L6">
        <f t="shared" si="1"/>
        <v>2.5600000000000005</v>
      </c>
      <c r="M6">
        <f t="shared" si="1"/>
        <v>3.24</v>
      </c>
      <c r="N6">
        <f t="shared" si="1"/>
        <v>4</v>
      </c>
      <c r="O6">
        <f t="shared" si="1"/>
        <v>4.8400000000000007</v>
      </c>
      <c r="P6">
        <f t="shared" si="1"/>
        <v>5.76</v>
      </c>
      <c r="Q6">
        <f t="shared" si="1"/>
        <v>6.7600000000000007</v>
      </c>
    </row>
    <row r="7" spans="1:17">
      <c r="A7">
        <v>3.5</v>
      </c>
      <c r="B7">
        <f t="shared" si="0"/>
        <v>0.7</v>
      </c>
    </row>
    <row r="8" spans="1:17">
      <c r="A8">
        <v>4</v>
      </c>
      <c r="B8">
        <f t="shared" si="0"/>
        <v>0.8</v>
      </c>
    </row>
    <row r="9" spans="1:17">
      <c r="A9">
        <v>4.5</v>
      </c>
      <c r="B9">
        <f t="shared" si="0"/>
        <v>0.9</v>
      </c>
    </row>
    <row r="10" spans="1:17">
      <c r="A10">
        <v>5</v>
      </c>
      <c r="B10">
        <f t="shared" si="0"/>
        <v>1</v>
      </c>
    </row>
    <row r="11" spans="1:17">
      <c r="A11">
        <v>5.5</v>
      </c>
      <c r="B11">
        <f t="shared" si="0"/>
        <v>1.1000000000000001</v>
      </c>
    </row>
    <row r="12" spans="1:17">
      <c r="A12">
        <v>6</v>
      </c>
      <c r="B12">
        <f t="shared" si="0"/>
        <v>1.2</v>
      </c>
    </row>
    <row r="13" spans="1:17">
      <c r="A13">
        <v>6.5</v>
      </c>
      <c r="B13">
        <f t="shared" si="0"/>
        <v>1.3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E6:S27"/>
  <sheetViews>
    <sheetView tabSelected="1" topLeftCell="E7" zoomScale="115" zoomScaleNormal="115" workbookViewId="0">
      <selection activeCell="I31" sqref="I31"/>
    </sheetView>
  </sheetViews>
  <sheetFormatPr defaultRowHeight="14.4"/>
  <cols>
    <col min="10" max="10" width="6.33203125" customWidth="1"/>
    <col min="11" max="11" width="7.5546875" customWidth="1"/>
    <col min="12" max="12" width="8.21875" customWidth="1"/>
    <col min="13" max="13" width="6.5546875" customWidth="1"/>
    <col min="14" max="14" width="7.44140625" customWidth="1"/>
    <col min="15" max="15" width="7.21875" customWidth="1"/>
    <col min="16" max="16" width="7.44140625" customWidth="1"/>
    <col min="18" max="18" width="6.77734375" customWidth="1"/>
    <col min="19" max="19" width="8.5546875" customWidth="1"/>
  </cols>
  <sheetData>
    <row r="6" spans="5:13">
      <c r="E6" t="s">
        <v>23</v>
      </c>
    </row>
    <row r="8" spans="5:13" ht="15.6">
      <c r="F8" s="2" t="s">
        <v>10</v>
      </c>
      <c r="G8" s="2" t="s">
        <v>11</v>
      </c>
      <c r="I8" s="1" t="s">
        <v>19</v>
      </c>
      <c r="J8" s="1" t="s">
        <v>20</v>
      </c>
      <c r="L8" s="1" t="s">
        <v>21</v>
      </c>
      <c r="M8" s="1" t="s">
        <v>22</v>
      </c>
    </row>
    <row r="9" spans="5:13">
      <c r="F9">
        <v>1</v>
      </c>
      <c r="G9">
        <v>0.81</v>
      </c>
      <c r="I9">
        <f>G9/5000</f>
        <v>1.6200000000000001E-4</v>
      </c>
      <c r="J9">
        <f>I9*1000</f>
        <v>0.16200000000000001</v>
      </c>
      <c r="L9">
        <f>(G9*I9)</f>
        <v>1.3122000000000001E-4</v>
      </c>
      <c r="M9">
        <f>L9*1000</f>
        <v>0.13122</v>
      </c>
    </row>
    <row r="10" spans="5:13">
      <c r="F10">
        <v>1.5</v>
      </c>
      <c r="G10">
        <v>1.21</v>
      </c>
      <c r="I10">
        <f t="shared" ref="I10:I20" si="0">G10/5000</f>
        <v>2.42E-4</v>
      </c>
      <c r="J10">
        <f t="shared" ref="J10:J20" si="1">I10*1000</f>
        <v>0.24199999999999999</v>
      </c>
      <c r="L10">
        <f t="shared" ref="L10:L20" si="2">(G10*I10)</f>
        <v>2.9282000000000001E-4</v>
      </c>
      <c r="M10">
        <f t="shared" ref="M10:M20" si="3">L10*1000</f>
        <v>0.29282000000000002</v>
      </c>
    </row>
    <row r="11" spans="5:13">
      <c r="F11">
        <v>2</v>
      </c>
      <c r="G11">
        <v>1.6</v>
      </c>
      <c r="I11">
        <f t="shared" si="0"/>
        <v>3.2000000000000003E-4</v>
      </c>
      <c r="J11">
        <f t="shared" si="1"/>
        <v>0.32</v>
      </c>
      <c r="L11">
        <f t="shared" si="2"/>
        <v>5.1200000000000009E-4</v>
      </c>
      <c r="M11">
        <f t="shared" si="3"/>
        <v>0.51200000000000012</v>
      </c>
    </row>
    <row r="12" spans="5:13">
      <c r="F12">
        <v>2.5</v>
      </c>
      <c r="G12">
        <v>2.02</v>
      </c>
      <c r="I12">
        <f t="shared" si="0"/>
        <v>4.0400000000000001E-4</v>
      </c>
      <c r="J12">
        <f t="shared" si="1"/>
        <v>0.40400000000000003</v>
      </c>
      <c r="L12">
        <f t="shared" si="2"/>
        <v>8.1608000000000006E-4</v>
      </c>
      <c r="M12">
        <f t="shared" si="3"/>
        <v>0.81608000000000003</v>
      </c>
    </row>
    <row r="13" spans="5:13">
      <c r="F13">
        <v>3</v>
      </c>
      <c r="G13">
        <v>2.42</v>
      </c>
      <c r="I13">
        <f t="shared" si="0"/>
        <v>4.84E-4</v>
      </c>
      <c r="J13">
        <f t="shared" si="1"/>
        <v>0.48399999999999999</v>
      </c>
      <c r="L13">
        <f t="shared" si="2"/>
        <v>1.17128E-3</v>
      </c>
      <c r="M13">
        <f t="shared" si="3"/>
        <v>1.1712800000000001</v>
      </c>
    </row>
    <row r="14" spans="5:13">
      <c r="F14">
        <v>3.5</v>
      </c>
      <c r="G14">
        <v>2.8</v>
      </c>
      <c r="I14">
        <f t="shared" si="0"/>
        <v>5.5999999999999995E-4</v>
      </c>
      <c r="J14">
        <f t="shared" si="1"/>
        <v>0.55999999999999994</v>
      </c>
      <c r="L14">
        <f t="shared" si="2"/>
        <v>1.5679999999999997E-3</v>
      </c>
      <c r="M14">
        <f t="shared" si="3"/>
        <v>1.5679999999999998</v>
      </c>
    </row>
    <row r="15" spans="5:13">
      <c r="F15">
        <v>4</v>
      </c>
      <c r="G15">
        <v>3.19</v>
      </c>
      <c r="I15">
        <f t="shared" si="0"/>
        <v>6.38E-4</v>
      </c>
      <c r="J15">
        <f t="shared" si="1"/>
        <v>0.63800000000000001</v>
      </c>
      <c r="L15">
        <f t="shared" si="2"/>
        <v>2.0352199999999999E-3</v>
      </c>
      <c r="M15">
        <f t="shared" si="3"/>
        <v>2.0352199999999998</v>
      </c>
    </row>
    <row r="16" spans="5:13">
      <c r="F16">
        <v>4.5</v>
      </c>
      <c r="G16">
        <v>3.59</v>
      </c>
      <c r="I16">
        <f t="shared" si="0"/>
        <v>7.18E-4</v>
      </c>
      <c r="J16">
        <f t="shared" si="1"/>
        <v>0.71799999999999997</v>
      </c>
      <c r="L16">
        <f t="shared" si="2"/>
        <v>2.5776200000000001E-3</v>
      </c>
      <c r="M16">
        <f t="shared" si="3"/>
        <v>2.57762</v>
      </c>
    </row>
    <row r="17" spans="6:19">
      <c r="F17">
        <v>5</v>
      </c>
      <c r="G17">
        <v>4.09</v>
      </c>
      <c r="I17">
        <f t="shared" si="0"/>
        <v>8.1799999999999993E-4</v>
      </c>
      <c r="J17">
        <f t="shared" si="1"/>
        <v>0.81799999999999995</v>
      </c>
      <c r="L17">
        <f t="shared" si="2"/>
        <v>3.3456199999999997E-3</v>
      </c>
      <c r="M17">
        <f t="shared" si="3"/>
        <v>3.3456199999999998</v>
      </c>
    </row>
    <row r="18" spans="6:19">
      <c r="F18">
        <v>5.5</v>
      </c>
      <c r="G18">
        <v>4.3899999999999997</v>
      </c>
      <c r="I18">
        <f t="shared" si="0"/>
        <v>8.7799999999999998E-4</v>
      </c>
      <c r="J18">
        <f t="shared" si="1"/>
        <v>0.878</v>
      </c>
      <c r="L18">
        <f t="shared" si="2"/>
        <v>3.8544199999999995E-3</v>
      </c>
      <c r="M18">
        <f t="shared" si="3"/>
        <v>3.8544199999999993</v>
      </c>
    </row>
    <row r="19" spans="6:19">
      <c r="F19">
        <v>6</v>
      </c>
      <c r="G19">
        <v>4.8499999999999996</v>
      </c>
      <c r="I19">
        <f t="shared" si="0"/>
        <v>9.6999999999999994E-4</v>
      </c>
      <c r="J19">
        <f t="shared" si="1"/>
        <v>0.97</v>
      </c>
      <c r="L19">
        <f t="shared" si="2"/>
        <v>4.7044999999999995E-3</v>
      </c>
      <c r="M19">
        <f t="shared" si="3"/>
        <v>4.7044999999999995</v>
      </c>
    </row>
    <row r="20" spans="6:19">
      <c r="F20">
        <v>6.5</v>
      </c>
      <c r="G20">
        <v>5.19</v>
      </c>
      <c r="I20">
        <f t="shared" si="0"/>
        <v>1.0380000000000001E-3</v>
      </c>
      <c r="J20">
        <f t="shared" si="1"/>
        <v>1.038</v>
      </c>
      <c r="L20">
        <f t="shared" si="2"/>
        <v>5.3872200000000007E-3</v>
      </c>
      <c r="M20">
        <f t="shared" si="3"/>
        <v>5.387220000000001</v>
      </c>
    </row>
    <row r="25" spans="6:19" ht="15.6">
      <c r="G25" s="2" t="s">
        <v>11</v>
      </c>
      <c r="H25">
        <v>0.81</v>
      </c>
      <c r="I25">
        <v>1.21</v>
      </c>
      <c r="J25">
        <v>1.6</v>
      </c>
      <c r="K25">
        <v>2.02</v>
      </c>
      <c r="L25">
        <v>2.42</v>
      </c>
      <c r="M25">
        <v>2.8</v>
      </c>
      <c r="N25">
        <v>3.19</v>
      </c>
      <c r="O25">
        <v>3.59</v>
      </c>
      <c r="P25">
        <v>4.09</v>
      </c>
      <c r="Q25">
        <v>4.3899999999999997</v>
      </c>
      <c r="R25">
        <v>4.8499999999999996</v>
      </c>
      <c r="S25">
        <v>5.19</v>
      </c>
    </row>
    <row r="26" spans="6:19">
      <c r="G26" s="2" t="s">
        <v>5</v>
      </c>
      <c r="H26">
        <v>0.16200000000000001</v>
      </c>
      <c r="I26">
        <v>0.24199999999999999</v>
      </c>
      <c r="J26">
        <v>0.32</v>
      </c>
      <c r="K26">
        <v>0.40400000000000003</v>
      </c>
      <c r="L26">
        <v>0.48399999999999999</v>
      </c>
      <c r="M26">
        <v>0.55999999999999994</v>
      </c>
      <c r="N26">
        <v>0.63800000000000001</v>
      </c>
      <c r="O26">
        <v>0.71799999999999997</v>
      </c>
      <c r="P26">
        <v>0.81799999999999995</v>
      </c>
      <c r="Q26">
        <v>0.878</v>
      </c>
      <c r="R26">
        <v>0.97</v>
      </c>
      <c r="S26">
        <v>1.038</v>
      </c>
    </row>
    <row r="27" spans="6:19">
      <c r="G27" s="2" t="s">
        <v>22</v>
      </c>
      <c r="H27">
        <v>0.13122</v>
      </c>
      <c r="I27">
        <v>0.29282000000000002</v>
      </c>
      <c r="J27">
        <v>0.51200000000000012</v>
      </c>
      <c r="K27">
        <v>0.81608000000000003</v>
      </c>
      <c r="L27">
        <v>1.1712800000000001</v>
      </c>
      <c r="M27">
        <v>1.5679999999999998</v>
      </c>
      <c r="N27">
        <v>2.0352199999999998</v>
      </c>
      <c r="O27">
        <v>2.57762</v>
      </c>
      <c r="P27">
        <v>3.3456199999999998</v>
      </c>
      <c r="Q27">
        <v>3.8544199999999993</v>
      </c>
      <c r="R27">
        <v>4.7044999999999995</v>
      </c>
      <c r="S27">
        <v>5.387220000000001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2018-11-05T20:53:18Z</dcterms:modified>
</cp:coreProperties>
</file>