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Arkusz1" sheetId="1" r:id="rId1"/>
    <sheet name="Arkusz2" sheetId="2" r:id="rId2"/>
    <sheet name="Arkusz3" sheetId="3" r:id="rId3"/>
  </sheets>
  <calcPr calcId="145621"/>
</workbook>
</file>

<file path=xl/calcChain.xml><?xml version="1.0" encoding="utf-8"?>
<calcChain xmlns="http://schemas.openxmlformats.org/spreadsheetml/2006/main">
  <c r="G38" i="1" l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35" i="1"/>
  <c r="Q20" i="1"/>
  <c r="Q5" i="1"/>
  <c r="O30" i="1"/>
  <c r="O29" i="1"/>
  <c r="O28" i="1"/>
  <c r="O27" i="1"/>
  <c r="O26" i="1"/>
  <c r="O25" i="1"/>
  <c r="O24" i="1"/>
  <c r="O23" i="1"/>
  <c r="O22" i="1"/>
  <c r="O21" i="1"/>
  <c r="O15" i="1"/>
  <c r="O14" i="1"/>
  <c r="O13" i="1"/>
  <c r="O12" i="1"/>
  <c r="O11" i="1"/>
  <c r="O10" i="1"/>
  <c r="O9" i="1"/>
  <c r="O8" i="1"/>
  <c r="O7" i="1"/>
  <c r="O6" i="1"/>
  <c r="G35" i="1" l="1"/>
  <c r="G20" i="1"/>
  <c r="G5" i="1"/>
  <c r="E22" i="1"/>
  <c r="E23" i="1"/>
  <c r="E24" i="1"/>
  <c r="E25" i="1"/>
  <c r="E26" i="1"/>
  <c r="E27" i="1"/>
  <c r="E28" i="1"/>
  <c r="E29" i="1"/>
  <c r="E30" i="1"/>
  <c r="E21" i="1"/>
  <c r="E6" i="1"/>
  <c r="E7" i="1"/>
  <c r="E8" i="1"/>
  <c r="E9" i="1"/>
  <c r="E10" i="1"/>
  <c r="E11" i="1"/>
  <c r="E12" i="1"/>
  <c r="E13" i="1"/>
  <c r="E14" i="1"/>
  <c r="E15" i="1"/>
</calcChain>
</file>

<file path=xl/sharedStrings.xml><?xml version="1.0" encoding="utf-8"?>
<sst xmlns="http://schemas.openxmlformats.org/spreadsheetml/2006/main" count="35" uniqueCount="16">
  <si>
    <t>Uz</t>
  </si>
  <si>
    <t>U (V)</t>
  </si>
  <si>
    <t>I (mA)</t>
  </si>
  <si>
    <t>R(Ω)</t>
  </si>
  <si>
    <t>-</t>
  </si>
  <si>
    <t>I (μA)</t>
  </si>
  <si>
    <t>cw1.1</t>
  </si>
  <si>
    <t>cw1.2</t>
  </si>
  <si>
    <t>Średni opór</t>
  </si>
  <si>
    <t>cw2.1</t>
  </si>
  <si>
    <t>cw2.2</t>
  </si>
  <si>
    <t>ln</t>
  </si>
  <si>
    <t>I(mA)</t>
  </si>
  <si>
    <t>U(V)</t>
  </si>
  <si>
    <t>cw3</t>
  </si>
  <si>
    <t>srednie napięcie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</si>
</sst>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49"/>
  <sheetViews>
    <sheetView tabSelected="1" topLeftCell="B1" zoomScale="130" zoomScaleNormal="130" workbookViewId="0">
      <selection activeCell="Q25" sqref="Q25"/>
    </sheetView>
  </sheetViews>
  <sheetFormatPr defaultRowHeight="15" x14ac:dyDescent="0.25"/>
  <cols>
    <col min="1" max="1" width="9.28515625" customWidth="1"/>
    <col min="2" max="2" width="3" customWidth="1"/>
    <col min="3" max="3" width="7.28515625" customWidth="1"/>
    <col min="7" max="7" width="16" customWidth="1"/>
    <col min="17" max="17" width="16.42578125" customWidth="1"/>
  </cols>
  <sheetData>
    <row r="3" spans="1:17" x14ac:dyDescent="0.25">
      <c r="A3" t="s">
        <v>6</v>
      </c>
      <c r="K3" t="s">
        <v>9</v>
      </c>
    </row>
    <row r="4" spans="1:17" x14ac:dyDescent="0.25">
      <c r="B4" s="2" t="s">
        <v>0</v>
      </c>
      <c r="C4" s="2" t="s">
        <v>2</v>
      </c>
      <c r="D4" s="2" t="s">
        <v>1</v>
      </c>
      <c r="E4" s="2" t="s">
        <v>3</v>
      </c>
      <c r="G4" s="1" t="s">
        <v>8</v>
      </c>
      <c r="L4" s="2" t="s">
        <v>0</v>
      </c>
      <c r="M4" s="2" t="s">
        <v>2</v>
      </c>
      <c r="N4" s="2" t="s">
        <v>1</v>
      </c>
      <c r="O4" s="2" t="s">
        <v>3</v>
      </c>
      <c r="Q4" s="1" t="s">
        <v>8</v>
      </c>
    </row>
    <row r="5" spans="1:17" x14ac:dyDescent="0.25">
      <c r="B5" s="1">
        <v>0</v>
      </c>
      <c r="C5">
        <v>0</v>
      </c>
      <c r="D5">
        <v>0</v>
      </c>
      <c r="E5" t="s">
        <v>4</v>
      </c>
      <c r="G5">
        <f>(E6+E7+E8+E9+E10+E11+E12+E13+E14+E15)/10</f>
        <v>470.84139485936237</v>
      </c>
      <c r="L5" s="1">
        <v>0</v>
      </c>
      <c r="M5">
        <v>0</v>
      </c>
      <c r="N5">
        <v>0</v>
      </c>
      <c r="O5" t="s">
        <v>4</v>
      </c>
      <c r="Q5">
        <f>(O6+O7+O8+O9+O10+O11+O12+O13+O14+O15)/10</f>
        <v>470.25113174780034</v>
      </c>
    </row>
    <row r="6" spans="1:17" x14ac:dyDescent="0.25">
      <c r="B6" s="1">
        <v>1</v>
      </c>
      <c r="C6">
        <v>2</v>
      </c>
      <c r="D6">
        <v>0.98</v>
      </c>
      <c r="E6">
        <f>D6/((10^(-3))*C6)</f>
        <v>490</v>
      </c>
      <c r="L6" s="1">
        <v>1</v>
      </c>
      <c r="M6">
        <v>2.06</v>
      </c>
      <c r="N6">
        <v>0.96</v>
      </c>
      <c r="O6">
        <f>N6/((10^(-3))*M6)</f>
        <v>466.01941747572812</v>
      </c>
    </row>
    <row r="7" spans="1:17" x14ac:dyDescent="0.25">
      <c r="B7" s="1">
        <v>2</v>
      </c>
      <c r="C7">
        <v>4.08</v>
      </c>
      <c r="D7">
        <v>1.91</v>
      </c>
      <c r="E7">
        <f t="shared" ref="E7:E15" si="0">D7/((10^(-3))*C7)</f>
        <v>468.13725490196072</v>
      </c>
      <c r="L7" s="1">
        <v>2</v>
      </c>
      <c r="M7">
        <v>4.29</v>
      </c>
      <c r="N7">
        <v>2.02</v>
      </c>
      <c r="O7">
        <f t="shared" ref="O7:O15" si="1">N7/((10^(-3))*M7)</f>
        <v>470.86247086247084</v>
      </c>
    </row>
    <row r="8" spans="1:17" x14ac:dyDescent="0.25">
      <c r="B8" s="1">
        <v>3</v>
      </c>
      <c r="C8">
        <v>6.25</v>
      </c>
      <c r="D8">
        <v>2.94</v>
      </c>
      <c r="E8">
        <f t="shared" si="0"/>
        <v>470.4</v>
      </c>
      <c r="L8" s="1">
        <v>3</v>
      </c>
      <c r="M8">
        <v>6.31</v>
      </c>
      <c r="N8">
        <v>2.97</v>
      </c>
      <c r="O8">
        <f t="shared" si="1"/>
        <v>470.68145800316961</v>
      </c>
    </row>
    <row r="9" spans="1:17" x14ac:dyDescent="0.25">
      <c r="B9" s="1">
        <v>4</v>
      </c>
      <c r="C9">
        <v>8.42</v>
      </c>
      <c r="D9">
        <v>3.93</v>
      </c>
      <c r="E9">
        <f t="shared" si="0"/>
        <v>466.74584323040381</v>
      </c>
      <c r="L9" s="1">
        <v>4</v>
      </c>
      <c r="M9">
        <v>8.5299999999999994</v>
      </c>
      <c r="N9">
        <v>4.0199999999999996</v>
      </c>
      <c r="O9">
        <f t="shared" si="1"/>
        <v>471.27784290738566</v>
      </c>
    </row>
    <row r="10" spans="1:17" x14ac:dyDescent="0.25">
      <c r="B10" s="1">
        <v>5</v>
      </c>
      <c r="C10">
        <v>10.37</v>
      </c>
      <c r="D10">
        <v>4.87</v>
      </c>
      <c r="E10">
        <f t="shared" si="0"/>
        <v>469.62391513982647</v>
      </c>
      <c r="L10" s="1">
        <v>5</v>
      </c>
      <c r="M10">
        <v>10.65</v>
      </c>
      <c r="N10">
        <v>5.0199999999999996</v>
      </c>
      <c r="O10">
        <f t="shared" si="1"/>
        <v>471.3615023474178</v>
      </c>
    </row>
    <row r="11" spans="1:17" x14ac:dyDescent="0.25">
      <c r="B11" s="1">
        <v>6</v>
      </c>
      <c r="C11">
        <v>12.56</v>
      </c>
      <c r="D11">
        <v>5.9</v>
      </c>
      <c r="E11">
        <f t="shared" si="0"/>
        <v>469.74522292993635</v>
      </c>
      <c r="L11" s="1">
        <v>6</v>
      </c>
      <c r="M11">
        <v>12.9</v>
      </c>
      <c r="N11">
        <v>6.08</v>
      </c>
      <c r="O11">
        <f t="shared" si="1"/>
        <v>471.31782945736433</v>
      </c>
    </row>
    <row r="12" spans="1:17" x14ac:dyDescent="0.25">
      <c r="B12" s="1">
        <v>7</v>
      </c>
      <c r="C12">
        <v>14.67</v>
      </c>
      <c r="D12">
        <v>6.88</v>
      </c>
      <c r="E12">
        <f t="shared" si="0"/>
        <v>468.98432174505791</v>
      </c>
      <c r="L12" s="1">
        <v>7</v>
      </c>
      <c r="M12">
        <v>14.95</v>
      </c>
      <c r="N12">
        <v>7.04</v>
      </c>
      <c r="O12">
        <f t="shared" si="1"/>
        <v>470.90301003344484</v>
      </c>
    </row>
    <row r="13" spans="1:17" x14ac:dyDescent="0.25">
      <c r="B13" s="1">
        <v>8</v>
      </c>
      <c r="C13">
        <v>16.809999999999999</v>
      </c>
      <c r="D13">
        <v>7.88</v>
      </c>
      <c r="E13">
        <f t="shared" si="0"/>
        <v>468.76859012492565</v>
      </c>
      <c r="L13" s="1">
        <v>8</v>
      </c>
      <c r="M13">
        <v>17.100000000000001</v>
      </c>
      <c r="N13">
        <v>8.0399999999999991</v>
      </c>
      <c r="O13">
        <f t="shared" si="1"/>
        <v>470.17543859649118</v>
      </c>
    </row>
    <row r="14" spans="1:17" x14ac:dyDescent="0.25">
      <c r="B14" s="1">
        <v>9</v>
      </c>
      <c r="C14">
        <v>18.88</v>
      </c>
      <c r="D14">
        <v>8.84</v>
      </c>
      <c r="E14">
        <f t="shared" si="0"/>
        <v>468.22033898305079</v>
      </c>
      <c r="L14" s="1">
        <v>9</v>
      </c>
      <c r="M14">
        <v>19.34</v>
      </c>
      <c r="N14">
        <v>9.09</v>
      </c>
      <c r="O14">
        <f t="shared" si="1"/>
        <v>470.01034126163393</v>
      </c>
    </row>
    <row r="15" spans="1:17" x14ac:dyDescent="0.25">
      <c r="B15" s="1">
        <v>10</v>
      </c>
      <c r="C15">
        <v>20.8</v>
      </c>
      <c r="D15">
        <v>9.73</v>
      </c>
      <c r="E15">
        <f t="shared" si="0"/>
        <v>467.78846153846149</v>
      </c>
      <c r="L15" s="1">
        <v>10</v>
      </c>
      <c r="M15">
        <v>21.43</v>
      </c>
      <c r="N15">
        <v>10.07</v>
      </c>
      <c r="O15">
        <f t="shared" si="1"/>
        <v>469.90200653289781</v>
      </c>
    </row>
    <row r="18" spans="1:17" x14ac:dyDescent="0.25">
      <c r="A18" t="s">
        <v>7</v>
      </c>
      <c r="K18" t="s">
        <v>10</v>
      </c>
    </row>
    <row r="19" spans="1:17" x14ac:dyDescent="0.25">
      <c r="B19" s="1" t="s">
        <v>0</v>
      </c>
      <c r="C19" s="1" t="s">
        <v>5</v>
      </c>
      <c r="D19" s="1" t="s">
        <v>1</v>
      </c>
      <c r="E19" s="1" t="s">
        <v>3</v>
      </c>
      <c r="G19" s="1" t="s">
        <v>8</v>
      </c>
      <c r="L19" s="1" t="s">
        <v>0</v>
      </c>
      <c r="M19" s="1" t="s">
        <v>5</v>
      </c>
      <c r="N19" s="1" t="s">
        <v>1</v>
      </c>
      <c r="O19" s="1" t="s">
        <v>3</v>
      </c>
      <c r="Q19" s="1" t="s">
        <v>8</v>
      </c>
    </row>
    <row r="20" spans="1:17" x14ac:dyDescent="0.25">
      <c r="B20" s="1">
        <v>0</v>
      </c>
      <c r="C20">
        <v>0</v>
      </c>
      <c r="D20">
        <v>0</v>
      </c>
      <c r="E20" t="s">
        <v>4</v>
      </c>
      <c r="G20">
        <f>(E21+E22+E23+E24+E25+E26+E27+E28+E29+E30)/10</f>
        <v>889708.93320252688</v>
      </c>
      <c r="L20" s="1">
        <v>0</v>
      </c>
      <c r="M20">
        <v>0</v>
      </c>
      <c r="N20">
        <v>0</v>
      </c>
      <c r="O20" t="s">
        <v>4</v>
      </c>
      <c r="Q20">
        <f>(O21+O22+O23+O24+O25+O26+O27+O28+O29+O30)/10</f>
        <v>964827.06444414461</v>
      </c>
    </row>
    <row r="21" spans="1:17" x14ac:dyDescent="0.25">
      <c r="B21" s="1">
        <v>1</v>
      </c>
      <c r="C21">
        <v>1.1000000000000001</v>
      </c>
      <c r="D21">
        <v>0.98</v>
      </c>
      <c r="E21">
        <f>D21/((10^(-6))*C21)</f>
        <v>890909.09090909082</v>
      </c>
      <c r="L21" s="1">
        <v>1</v>
      </c>
      <c r="M21">
        <v>1</v>
      </c>
      <c r="N21">
        <v>0.95</v>
      </c>
      <c r="O21">
        <f>N21/((10^(-6))*M21)</f>
        <v>950000</v>
      </c>
    </row>
    <row r="22" spans="1:17" x14ac:dyDescent="0.25">
      <c r="B22" s="1">
        <v>2</v>
      </c>
      <c r="C22">
        <v>2.2999999999999998</v>
      </c>
      <c r="D22">
        <v>2</v>
      </c>
      <c r="E22">
        <f t="shared" ref="E22:E30" si="2">D22/((10^(-6))*C22)</f>
        <v>869565.21739130456</v>
      </c>
      <c r="L22" s="1">
        <v>2</v>
      </c>
      <c r="M22">
        <v>2.1</v>
      </c>
      <c r="N22">
        <v>1.87</v>
      </c>
      <c r="O22">
        <f t="shared" ref="O22:O30" si="3">N22/((10^(-6))*M22)</f>
        <v>890476.19047619065</v>
      </c>
    </row>
    <row r="23" spans="1:17" x14ac:dyDescent="0.25">
      <c r="B23" s="1">
        <v>3</v>
      </c>
      <c r="C23">
        <v>3.4</v>
      </c>
      <c r="D23">
        <v>3.01</v>
      </c>
      <c r="E23">
        <f t="shared" si="2"/>
        <v>885294.11764705891</v>
      </c>
      <c r="L23" s="1">
        <v>3</v>
      </c>
      <c r="M23">
        <v>3.1</v>
      </c>
      <c r="N23">
        <v>2.99</v>
      </c>
      <c r="O23">
        <f t="shared" si="3"/>
        <v>964516.12903225818</v>
      </c>
    </row>
    <row r="24" spans="1:17" x14ac:dyDescent="0.25">
      <c r="B24" s="1">
        <v>4</v>
      </c>
      <c r="C24">
        <v>4.5</v>
      </c>
      <c r="D24">
        <v>4.0199999999999996</v>
      </c>
      <c r="E24">
        <f t="shared" si="2"/>
        <v>893333.33333333326</v>
      </c>
      <c r="L24" s="1">
        <v>4</v>
      </c>
      <c r="M24">
        <v>4.0999999999999996</v>
      </c>
      <c r="N24">
        <v>3.99</v>
      </c>
      <c r="O24">
        <f t="shared" si="3"/>
        <v>973170.73170731717</v>
      </c>
    </row>
    <row r="25" spans="1:17" x14ac:dyDescent="0.25">
      <c r="B25" s="1">
        <v>5</v>
      </c>
      <c r="C25">
        <v>5.6</v>
      </c>
      <c r="D25">
        <v>4.99</v>
      </c>
      <c r="E25">
        <f t="shared" si="2"/>
        <v>891071.42857142864</v>
      </c>
      <c r="L25" s="1">
        <v>5</v>
      </c>
      <c r="M25">
        <v>5.0999999999999996</v>
      </c>
      <c r="N25">
        <v>5</v>
      </c>
      <c r="O25">
        <f t="shared" si="3"/>
        <v>980392.15686274518</v>
      </c>
    </row>
    <row r="26" spans="1:17" x14ac:dyDescent="0.25">
      <c r="B26" s="1">
        <v>6</v>
      </c>
      <c r="C26">
        <v>6.7</v>
      </c>
      <c r="D26">
        <v>5.98</v>
      </c>
      <c r="E26">
        <f t="shared" si="2"/>
        <v>892537.31343283586</v>
      </c>
      <c r="L26" s="1">
        <v>6</v>
      </c>
      <c r="M26">
        <v>6.2</v>
      </c>
      <c r="N26">
        <v>6.05</v>
      </c>
      <c r="O26">
        <f t="shared" si="3"/>
        <v>975806.45161290315</v>
      </c>
    </row>
    <row r="27" spans="1:17" x14ac:dyDescent="0.25">
      <c r="B27" s="1">
        <v>7</v>
      </c>
      <c r="C27">
        <v>7.8</v>
      </c>
      <c r="D27">
        <v>7.02</v>
      </c>
      <c r="E27">
        <f t="shared" si="2"/>
        <v>900000</v>
      </c>
      <c r="L27" s="1">
        <v>7</v>
      </c>
      <c r="M27">
        <v>7.2</v>
      </c>
      <c r="N27">
        <v>7.01</v>
      </c>
      <c r="O27">
        <f t="shared" si="3"/>
        <v>973611.11111111112</v>
      </c>
    </row>
    <row r="28" spans="1:17" x14ac:dyDescent="0.25">
      <c r="B28" s="1">
        <v>8</v>
      </c>
      <c r="C28">
        <v>9</v>
      </c>
      <c r="D28">
        <v>7.98</v>
      </c>
      <c r="E28">
        <f t="shared" si="2"/>
        <v>886666.66666666674</v>
      </c>
      <c r="L28" s="1">
        <v>8</v>
      </c>
      <c r="M28">
        <v>8.3000000000000007</v>
      </c>
      <c r="N28">
        <v>8.1</v>
      </c>
      <c r="O28">
        <f t="shared" si="3"/>
        <v>975903.61445783125</v>
      </c>
    </row>
    <row r="29" spans="1:17" x14ac:dyDescent="0.25">
      <c r="B29" s="1">
        <v>9</v>
      </c>
      <c r="C29">
        <v>10.1</v>
      </c>
      <c r="D29">
        <v>9.02</v>
      </c>
      <c r="E29">
        <f t="shared" si="2"/>
        <v>893069.30693069298</v>
      </c>
      <c r="L29" s="1">
        <v>9</v>
      </c>
      <c r="M29">
        <v>9.1999999999999993</v>
      </c>
      <c r="N29">
        <v>9.06</v>
      </c>
      <c r="O29">
        <f t="shared" si="3"/>
        <v>984782.60869565245</v>
      </c>
    </row>
    <row r="30" spans="1:17" x14ac:dyDescent="0.25">
      <c r="B30" s="1">
        <v>10</v>
      </c>
      <c r="C30">
        <v>11.2</v>
      </c>
      <c r="D30">
        <v>10.02</v>
      </c>
      <c r="E30">
        <f t="shared" si="2"/>
        <v>894642.85714285716</v>
      </c>
      <c r="L30" s="1">
        <v>10</v>
      </c>
      <c r="M30">
        <v>10.3</v>
      </c>
      <c r="N30">
        <v>10.09</v>
      </c>
      <c r="O30">
        <f t="shared" si="3"/>
        <v>979611.6504854369</v>
      </c>
    </row>
    <row r="33" spans="1:8" x14ac:dyDescent="0.25">
      <c r="A33" t="s">
        <v>14</v>
      </c>
    </row>
    <row r="34" spans="1:8" x14ac:dyDescent="0.25">
      <c r="B34" s="1" t="s">
        <v>11</v>
      </c>
      <c r="C34" s="1" t="s">
        <v>12</v>
      </c>
      <c r="D34" s="1" t="s">
        <v>13</v>
      </c>
      <c r="E34" s="1" t="s">
        <v>3</v>
      </c>
      <c r="G34" s="1" t="s">
        <v>8</v>
      </c>
    </row>
    <row r="35" spans="1:8" x14ac:dyDescent="0.25">
      <c r="B35" s="1">
        <v>1</v>
      </c>
      <c r="C35">
        <v>0.25</v>
      </c>
      <c r="D35">
        <v>2.4900000000000002</v>
      </c>
      <c r="E35">
        <f t="shared" ref="E35:E49" si="4">D35/((10^(-3))*C35)</f>
        <v>9960</v>
      </c>
      <c r="G35">
        <f>(E36+E37+E38+E39+E40+E41+E42+E43+E44+E45)/10</f>
        <v>10108.833333333332</v>
      </c>
    </row>
    <row r="36" spans="1:8" x14ac:dyDescent="0.25">
      <c r="B36" s="1">
        <v>2</v>
      </c>
      <c r="C36">
        <v>0.25</v>
      </c>
      <c r="D36">
        <v>2.48</v>
      </c>
      <c r="E36">
        <f t="shared" si="4"/>
        <v>9920</v>
      </c>
    </row>
    <row r="37" spans="1:8" x14ac:dyDescent="0.25">
      <c r="B37" s="1">
        <v>3</v>
      </c>
      <c r="C37">
        <v>0.25</v>
      </c>
      <c r="D37">
        <v>2.4900000000000002</v>
      </c>
      <c r="E37">
        <f t="shared" si="4"/>
        <v>9960</v>
      </c>
      <c r="G37" s="1" t="s">
        <v>15</v>
      </c>
    </row>
    <row r="38" spans="1:8" x14ac:dyDescent="0.25">
      <c r="B38" s="1">
        <v>4</v>
      </c>
      <c r="C38">
        <v>0.25</v>
      </c>
      <c r="D38">
        <v>2.4900000000000002</v>
      </c>
      <c r="E38">
        <f t="shared" si="4"/>
        <v>9960</v>
      </c>
      <c r="G38">
        <f>AVERAGE(D35:D49)</f>
        <v>2.4966666666666666</v>
      </c>
    </row>
    <row r="39" spans="1:8" x14ac:dyDescent="0.25">
      <c r="B39" s="1">
        <v>5</v>
      </c>
      <c r="C39">
        <v>0.25</v>
      </c>
      <c r="D39">
        <v>2.5</v>
      </c>
      <c r="E39">
        <f t="shared" si="4"/>
        <v>10000</v>
      </c>
    </row>
    <row r="40" spans="1:8" x14ac:dyDescent="0.25">
      <c r="B40" s="1">
        <v>6</v>
      </c>
      <c r="C40">
        <v>0.24</v>
      </c>
      <c r="D40">
        <v>2.5099999999999998</v>
      </c>
      <c r="E40">
        <f t="shared" si="4"/>
        <v>10458.333333333332</v>
      </c>
    </row>
    <row r="41" spans="1:8" x14ac:dyDescent="0.25">
      <c r="B41" s="1">
        <v>7</v>
      </c>
      <c r="C41">
        <v>0.25</v>
      </c>
      <c r="D41">
        <v>2.5</v>
      </c>
      <c r="E41">
        <f t="shared" si="4"/>
        <v>10000</v>
      </c>
    </row>
    <row r="42" spans="1:8" x14ac:dyDescent="0.25">
      <c r="B42" s="1">
        <v>8</v>
      </c>
      <c r="C42">
        <v>0.24</v>
      </c>
      <c r="D42">
        <v>2.48</v>
      </c>
      <c r="E42">
        <f t="shared" si="4"/>
        <v>10333.333333333332</v>
      </c>
    </row>
    <row r="43" spans="1:8" x14ac:dyDescent="0.25">
      <c r="B43" s="1">
        <v>9</v>
      </c>
      <c r="C43">
        <v>0.25</v>
      </c>
      <c r="D43">
        <v>2.5099999999999998</v>
      </c>
      <c r="E43">
        <f t="shared" si="4"/>
        <v>10039.999999999998</v>
      </c>
    </row>
    <row r="44" spans="1:8" x14ac:dyDescent="0.25">
      <c r="B44" s="1">
        <v>10</v>
      </c>
      <c r="C44">
        <v>0.24</v>
      </c>
      <c r="D44">
        <v>2.5</v>
      </c>
      <c r="E44">
        <f t="shared" si="4"/>
        <v>10416.666666666666</v>
      </c>
    </row>
    <row r="45" spans="1:8" x14ac:dyDescent="0.25">
      <c r="B45" s="1">
        <v>11</v>
      </c>
      <c r="C45">
        <v>0.25</v>
      </c>
      <c r="D45">
        <v>2.5</v>
      </c>
      <c r="E45">
        <f t="shared" si="4"/>
        <v>10000</v>
      </c>
    </row>
    <row r="46" spans="1:8" x14ac:dyDescent="0.25">
      <c r="B46" s="1">
        <v>12</v>
      </c>
      <c r="C46">
        <v>0.25</v>
      </c>
      <c r="D46">
        <v>2.5099999999999998</v>
      </c>
      <c r="E46">
        <f t="shared" si="4"/>
        <v>10039.999999999998</v>
      </c>
    </row>
    <row r="47" spans="1:8" x14ac:dyDescent="0.25">
      <c r="B47" s="1">
        <v>13</v>
      </c>
      <c r="C47">
        <v>0.25</v>
      </c>
      <c r="D47">
        <v>2.5</v>
      </c>
      <c r="E47">
        <f t="shared" si="4"/>
        <v>10000</v>
      </c>
      <c r="H47">
        <v>48</v>
      </c>
    </row>
    <row r="48" spans="1:8" x14ac:dyDescent="0.25">
      <c r="B48" s="1">
        <v>14</v>
      </c>
      <c r="C48">
        <v>0.25</v>
      </c>
      <c r="D48">
        <v>2.5099999999999998</v>
      </c>
      <c r="E48">
        <f t="shared" si="4"/>
        <v>10039.999999999998</v>
      </c>
    </row>
    <row r="49" spans="2:5" x14ac:dyDescent="0.25">
      <c r="B49" s="1">
        <v>15</v>
      </c>
      <c r="C49">
        <v>0.25</v>
      </c>
      <c r="D49">
        <v>2.48</v>
      </c>
      <c r="E49">
        <f t="shared" si="4"/>
        <v>9920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2018-10-20T11:46:45Z</dcterms:created>
  <dcterms:modified xsi:type="dcterms:W3CDTF">2018-10-21T15:44:08Z</dcterms:modified>
</cp:coreProperties>
</file>