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<sst xmlns="http://schemas.openxmlformats.org/spreadsheetml/2006/main" count="6" uniqueCount="6">
  <si>
    <t>Napięcie zasilania [V]</t>
  </si>
  <si>
    <t>mA</t>
  </si>
  <si>
    <t>Natężenie [A]</t>
  </si>
  <si>
    <t>V</t>
  </si>
  <si>
    <t>Wartość rezystancji [Ω]</t>
  </si>
  <si>
    <t xml:space="preserve">Średnia wartość rezystancji: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</si>
</sst>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t>Wartość rezystancji [Ω]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Arkusz1!$E$1</c:f>
            </c:strRef>
          </c:tx>
          <c:marker>
            <c:symbol val="none"/>
          </c:marker>
          <c:val>
            <c:numRef>
              <c:f>Arkusz1!$E$2:$E$22</c:f>
            </c:numRef>
          </c:val>
          <c:smooth val="0"/>
        </c:ser>
        <c:axId val="1191325409"/>
        <c:axId val="604242440"/>
      </c:lineChart>
      <c:catAx>
        <c:axId val="1191325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4242440"/>
      </c:catAx>
      <c:valAx>
        <c:axId val="604242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Wartość rezystancji [Ω]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1325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Wartość napięcia [V]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Arkusz1!$D$1</c:f>
            </c:strRef>
          </c:tx>
          <c:marker>
            <c:symbol val="none"/>
          </c:marker>
          <c:val>
            <c:numRef>
              <c:f>Arkusz1!$D$2:$D$22</c:f>
            </c:numRef>
          </c:val>
          <c:smooth val="0"/>
        </c:ser>
        <c:ser>
          <c:idx val="1"/>
          <c:order val="1"/>
          <c:tx>
            <c:strRef>
              <c:f>Arkusz1!$A$1</c:f>
            </c:strRef>
          </c:tx>
          <c:marker>
            <c:symbol val="none"/>
          </c:marker>
          <c:val>
            <c:numRef>
              <c:f>Arkusz1!$A$2:$A$22</c:f>
            </c:numRef>
          </c:val>
          <c:smooth val="0"/>
        </c:ser>
        <c:axId val="917928733"/>
        <c:axId val="1391962962"/>
      </c:lineChart>
      <c:catAx>
        <c:axId val="917928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Tytuł osi poziomej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1962962"/>
      </c:catAx>
      <c:valAx>
        <c:axId val="1391962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Tytuł lewej osi pionowej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7928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1</xdr:row>
      <xdr:rowOff>133350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381000</xdr:colOff>
      <xdr:row>17</xdr:row>
      <xdr:rowOff>28575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>
        <v>0.0</v>
      </c>
      <c r="B2" s="5">
        <v>0.0</v>
      </c>
      <c r="C2" s="5">
        <f>B2/100000</f>
        <v>0</v>
      </c>
      <c r="D2" s="5">
        <v>0.0</v>
      </c>
      <c r="E2" s="5">
        <v>0.0</v>
      </c>
    </row>
    <row r="3">
      <c r="A3" s="5">
        <v>0.05</v>
      </c>
      <c r="B3" s="6">
        <v>1.2</v>
      </c>
      <c r="C3" s="5">
        <f t="shared" ref="C3:C22" si="1">B3/1000</f>
        <v>0.0012</v>
      </c>
      <c r="D3" s="6">
        <v>0.56</v>
      </c>
      <c r="E3" s="5">
        <f t="shared" ref="E3:E22" si="2">D3/C3</f>
        <v>466.6666667</v>
      </c>
    </row>
    <row r="4">
      <c r="A4" s="5">
        <v>1.0</v>
      </c>
      <c r="B4" s="6">
        <v>2.24</v>
      </c>
      <c r="C4" s="5">
        <f t="shared" si="1"/>
        <v>0.00224</v>
      </c>
      <c r="D4" s="6">
        <v>1.05</v>
      </c>
      <c r="E4" s="5">
        <f t="shared" si="2"/>
        <v>468.75</v>
      </c>
    </row>
    <row r="5">
      <c r="A5" s="5">
        <v>1.5</v>
      </c>
      <c r="B5" s="6">
        <v>3.21</v>
      </c>
      <c r="C5" s="5">
        <f t="shared" si="1"/>
        <v>0.00321</v>
      </c>
      <c r="D5" s="6">
        <v>1.51</v>
      </c>
      <c r="E5" s="5">
        <f t="shared" si="2"/>
        <v>470.4049844</v>
      </c>
    </row>
    <row r="6">
      <c r="A6" s="5">
        <v>2.0</v>
      </c>
      <c r="B6" s="6">
        <v>4.46</v>
      </c>
      <c r="C6" s="5">
        <f t="shared" si="1"/>
        <v>0.00446</v>
      </c>
      <c r="D6" s="6">
        <v>2.09</v>
      </c>
      <c r="E6" s="5">
        <f t="shared" si="2"/>
        <v>468.6098655</v>
      </c>
    </row>
    <row r="7">
      <c r="A7" s="5">
        <v>2.5</v>
      </c>
      <c r="B7" s="6">
        <v>5.53</v>
      </c>
      <c r="C7" s="5">
        <f t="shared" si="1"/>
        <v>0.00553</v>
      </c>
      <c r="D7" s="6">
        <v>2.6</v>
      </c>
      <c r="E7" s="5">
        <f t="shared" si="2"/>
        <v>470.1627486</v>
      </c>
    </row>
    <row r="8">
      <c r="A8" s="5">
        <v>3.0</v>
      </c>
      <c r="B8" s="6">
        <v>6.56</v>
      </c>
      <c r="C8" s="5">
        <f t="shared" si="1"/>
        <v>0.00656</v>
      </c>
      <c r="D8" s="6">
        <v>3.08</v>
      </c>
      <c r="E8" s="5">
        <f t="shared" si="2"/>
        <v>469.5121951</v>
      </c>
    </row>
    <row r="9">
      <c r="A9" s="5">
        <v>3.5</v>
      </c>
      <c r="B9" s="6">
        <v>7.55</v>
      </c>
      <c r="C9" s="5">
        <f t="shared" si="1"/>
        <v>0.00755</v>
      </c>
      <c r="D9" s="6">
        <v>3.55</v>
      </c>
      <c r="E9" s="5">
        <f t="shared" si="2"/>
        <v>470.1986755</v>
      </c>
    </row>
    <row r="10">
      <c r="A10" s="5">
        <v>4.0</v>
      </c>
      <c r="B10" s="6">
        <v>8.68</v>
      </c>
      <c r="C10" s="5">
        <f t="shared" si="1"/>
        <v>0.00868</v>
      </c>
      <c r="D10" s="6">
        <v>4.08</v>
      </c>
      <c r="E10" s="5">
        <f t="shared" si="2"/>
        <v>470.0460829</v>
      </c>
    </row>
    <row r="11">
      <c r="A11" s="5">
        <v>4.5</v>
      </c>
      <c r="B11" s="6">
        <v>9.74</v>
      </c>
      <c r="C11" s="5">
        <f t="shared" si="1"/>
        <v>0.00974</v>
      </c>
      <c r="D11" s="6">
        <v>4.56</v>
      </c>
      <c r="E11" s="5">
        <f t="shared" si="2"/>
        <v>468.1724846</v>
      </c>
    </row>
    <row r="12">
      <c r="A12" s="5">
        <v>5.0</v>
      </c>
      <c r="B12" s="6">
        <v>10.81</v>
      </c>
      <c r="C12" s="5">
        <f t="shared" si="1"/>
        <v>0.01081</v>
      </c>
      <c r="D12" s="6">
        <v>5.08</v>
      </c>
      <c r="E12" s="5">
        <f t="shared" si="2"/>
        <v>469.9352451</v>
      </c>
    </row>
    <row r="13">
      <c r="A13" s="5">
        <v>5.5</v>
      </c>
      <c r="B13" s="6">
        <v>11.83</v>
      </c>
      <c r="C13" s="5">
        <f t="shared" si="1"/>
        <v>0.01183</v>
      </c>
      <c r="D13" s="6">
        <v>5.55</v>
      </c>
      <c r="E13" s="5">
        <f t="shared" si="2"/>
        <v>469.1462384</v>
      </c>
    </row>
    <row r="14">
      <c r="A14" s="5">
        <v>6.0</v>
      </c>
      <c r="B14" s="6">
        <v>12.84</v>
      </c>
      <c r="C14" s="5">
        <f t="shared" si="1"/>
        <v>0.01284</v>
      </c>
      <c r="D14" s="6">
        <v>6.02</v>
      </c>
      <c r="E14" s="5">
        <f t="shared" si="2"/>
        <v>468.847352</v>
      </c>
    </row>
    <row r="15">
      <c r="A15" s="5">
        <v>6.5</v>
      </c>
      <c r="B15" s="6">
        <v>13.98</v>
      </c>
      <c r="C15" s="5">
        <f t="shared" si="1"/>
        <v>0.01398</v>
      </c>
      <c r="D15" s="6">
        <v>6.55</v>
      </c>
      <c r="E15" s="5">
        <f t="shared" si="2"/>
        <v>468.5264664</v>
      </c>
    </row>
    <row r="16">
      <c r="A16" s="5">
        <v>7.0</v>
      </c>
      <c r="B16" s="6">
        <v>15.1</v>
      </c>
      <c r="C16" s="5">
        <f t="shared" si="1"/>
        <v>0.0151</v>
      </c>
      <c r="D16" s="6">
        <v>7.08</v>
      </c>
      <c r="E16" s="5">
        <f t="shared" si="2"/>
        <v>468.8741722</v>
      </c>
    </row>
    <row r="17">
      <c r="A17" s="5">
        <v>7.5</v>
      </c>
      <c r="B17" s="6">
        <v>16.13</v>
      </c>
      <c r="C17" s="5">
        <f t="shared" si="1"/>
        <v>0.01613</v>
      </c>
      <c r="D17" s="6">
        <v>7.55</v>
      </c>
      <c r="E17" s="5">
        <f t="shared" si="2"/>
        <v>468.0719157</v>
      </c>
    </row>
    <row r="18">
      <c r="A18" s="5">
        <v>8.0</v>
      </c>
      <c r="B18" s="6">
        <v>17.25</v>
      </c>
      <c r="C18" s="5">
        <f t="shared" si="1"/>
        <v>0.01725</v>
      </c>
      <c r="D18" s="6">
        <v>8.09</v>
      </c>
      <c r="E18" s="5">
        <f t="shared" si="2"/>
        <v>468.9855072</v>
      </c>
    </row>
    <row r="19">
      <c r="A19" s="5">
        <v>8.5</v>
      </c>
      <c r="B19" s="6">
        <v>18.32</v>
      </c>
      <c r="C19" s="5">
        <f t="shared" si="1"/>
        <v>0.01832</v>
      </c>
      <c r="D19" s="6">
        <v>8.58</v>
      </c>
      <c r="E19" s="5">
        <f t="shared" si="2"/>
        <v>468.3406114</v>
      </c>
    </row>
    <row r="20">
      <c r="A20" s="5">
        <v>9.0</v>
      </c>
      <c r="B20" s="6">
        <v>19.38</v>
      </c>
      <c r="C20" s="5">
        <f t="shared" si="1"/>
        <v>0.01938</v>
      </c>
      <c r="D20" s="6">
        <v>9.08</v>
      </c>
      <c r="E20" s="5">
        <f t="shared" si="2"/>
        <v>468.5242518</v>
      </c>
    </row>
    <row r="21">
      <c r="A21" s="5">
        <v>9.5</v>
      </c>
      <c r="B21" s="6">
        <v>20.32</v>
      </c>
      <c r="C21" s="5">
        <f t="shared" si="1"/>
        <v>0.02032</v>
      </c>
      <c r="D21" s="6">
        <v>9.51</v>
      </c>
      <c r="E21" s="5">
        <f t="shared" si="2"/>
        <v>468.011811</v>
      </c>
    </row>
    <row r="22">
      <c r="A22" s="5">
        <v>10.0</v>
      </c>
      <c r="B22" s="6">
        <v>21.38</v>
      </c>
      <c r="C22" s="5">
        <f t="shared" si="1"/>
        <v>0.02138</v>
      </c>
      <c r="D22" s="6">
        <v>10.02</v>
      </c>
      <c r="E22" s="5">
        <f t="shared" si="2"/>
        <v>468.6623012</v>
      </c>
    </row>
    <row r="23">
      <c r="A23" s="7" t="s">
        <v>5</v>
      </c>
      <c r="E23" s="7">
        <f>AVERAGE(E3:E22)</f>
        <v>468.9224788</v>
      </c>
    </row>
  </sheetData>
  <mergeCells count="1">
    <mergeCell ref="A23:D23"/>
  </mergeCells>
  <drawing r:id="rId1"/>
</worksheet>
</file>