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1" sheetId="1" r:id="rId3"/>
    <sheet state="visible" name="Arkusz3" sheetId="2" r:id="rId4"/>
    <sheet state="visible" name="Tabela 2" sheetId="3" r:id="rId5"/>
  </sheets>
  <definedNames/>
  <calcPr/>
</workbook>
</file>

<file path=xl/sharedStrings.xml><?xml version="1.0" encoding="utf-8"?>
<sst xmlns="http://schemas.openxmlformats.org/spreadsheetml/2006/main" count="43" uniqueCount="31">
  <si>
    <t>Lp</t>
  </si>
  <si>
    <t>T1</t>
  </si>
  <si>
    <t>T2</t>
  </si>
  <si>
    <t>T3</t>
  </si>
  <si>
    <t>T4</t>
  </si>
  <si>
    <t>T średnie</t>
  </si>
  <si>
    <t>ΔT</t>
  </si>
  <si>
    <t>C</t>
  </si>
  <si>
    <t>ΔC</t>
  </si>
  <si>
    <t>Odchylenie s.</t>
  </si>
  <si>
    <t>ΔTp</t>
  </si>
  <si>
    <t>C[uF]</t>
  </si>
  <si>
    <t>T [s] (t/10)</t>
  </si>
  <si>
    <t>K</t>
  </si>
  <si>
    <t>ΔK</t>
  </si>
  <si>
    <t>t [s]</t>
  </si>
  <si>
    <t>odchylenie</t>
  </si>
  <si>
    <t>K średnia</t>
  </si>
  <si>
    <t>C1</t>
  </si>
  <si>
    <t>0.1</t>
  </si>
  <si>
    <t>0.08</t>
  </si>
  <si>
    <t>0.06</t>
  </si>
  <si>
    <t>C2</t>
  </si>
  <si>
    <t>C3</t>
  </si>
  <si>
    <t>0.04</t>
  </si>
  <si>
    <t>C4</t>
  </si>
  <si>
    <t>0.05</t>
  </si>
  <si>
    <t>JAK TO POLICZYĆ</t>
  </si>
  <si>
    <t>Odchylenie</t>
  </si>
  <si>
    <t>Błąd przypadkowy</t>
  </si>
  <si>
    <t>Średnia: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</si>
</sst>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</font>
    <font>
      <color rgb="FF006100"/>
      <name val="Arial"/>
    </font>
    <font/>
    <font>
      <b/>
      <color rgb="FF000000"/>
      <name val="Arial"/>
    </font>
    <font>
      <color rgb="FF9C6500"/>
      <name val="Arial"/>
    </font>
    <font>
      <name val="Arial"/>
    </font>
    <font>
      <b/>
      <color rgb="FF3F3F3F"/>
      <name val="Arial"/>
    </font>
    <font>
      <sz val="11.0"/>
    </font>
  </fonts>
  <fills count="7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EFEFEF"/>
        <bgColor rgb="FFEFEFEF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vertical="bottom"/>
    </xf>
    <xf borderId="0" fillId="3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1" fillId="4" fontId="5" numFmtId="0" xfId="0" applyAlignment="1" applyBorder="1" applyFill="1" applyFont="1">
      <alignment horizontal="right" readingOrder="0" vertical="bottom"/>
    </xf>
    <xf borderId="0" fillId="5" fontId="6" numFmtId="0" xfId="0" applyAlignment="1" applyFill="1" applyFont="1">
      <alignment horizontal="right" readingOrder="0" vertical="bottom"/>
    </xf>
    <xf borderId="1" fillId="6" fontId="7" numFmtId="0" xfId="0" applyAlignment="1" applyBorder="1" applyFill="1" applyFont="1">
      <alignment horizontal="right" readingOrder="0" vertical="bottom"/>
    </xf>
    <xf borderId="0" fillId="0" fontId="8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14"/>
  </cols>
  <sheetData>
    <row r="1">
      <c r="A1" s="3" t="s">
        <v>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4"/>
      <c r="H1" s="4" t="s">
        <v>17</v>
      </c>
      <c r="I1" s="4"/>
    </row>
    <row r="2">
      <c r="A2" s="4">
        <v>1.0</v>
      </c>
      <c r="B2" s="4">
        <v>0.2</v>
      </c>
      <c r="C2" s="4">
        <v>0.57</v>
      </c>
      <c r="D2" s="10">
        <f t="shared" ref="D2:D11" si="1">ROUND(C2/(5*B2),2)</f>
        <v>0.57</v>
      </c>
      <c r="E2" s="4">
        <f t="shared" ref="E2:E11" si="2">ROUND(ABS((1/(5*B2))*0.01)+ABS((C2/5)*(-1/POWER(B2,2))*0.01)+ABS((C2/B2)*(-1/POWER(5,2))*0.01),2)</f>
        <v>0.04</v>
      </c>
      <c r="F2" s="4">
        <v>5.7</v>
      </c>
      <c r="G2">
        <f t="shared" ref="G2:G11" si="3">POWER(D2-$D$12,2)</f>
        <v>0.003721</v>
      </c>
      <c r="H2">
        <f t="shared" ref="H2:H11" si="4">E2/D2</f>
        <v>0.0701754386</v>
      </c>
      <c r="I2">
        <f t="shared" ref="I2:I11" si="5">POWER(D2-$D$12,2)</f>
        <v>0.003721</v>
      </c>
    </row>
    <row r="3">
      <c r="A3" s="4">
        <v>2.0</v>
      </c>
      <c r="B3" s="4">
        <v>0.3</v>
      </c>
      <c r="C3" s="4">
        <v>0.857</v>
      </c>
      <c r="D3" s="10">
        <f t="shared" si="1"/>
        <v>0.57</v>
      </c>
      <c r="E3" s="4">
        <f t="shared" si="2"/>
        <v>0.03</v>
      </c>
      <c r="F3" s="4">
        <v>8.57</v>
      </c>
      <c r="G3">
        <f t="shared" si="3"/>
        <v>0.003721</v>
      </c>
      <c r="H3">
        <f t="shared" si="4"/>
        <v>0.05263157895</v>
      </c>
      <c r="I3">
        <f t="shared" si="5"/>
        <v>0.003721</v>
      </c>
    </row>
    <row r="4">
      <c r="A4" s="4">
        <v>3.0</v>
      </c>
      <c r="B4" s="4">
        <v>0.4</v>
      </c>
      <c r="C4" s="4">
        <v>1.102</v>
      </c>
      <c r="D4" s="10">
        <f t="shared" si="1"/>
        <v>0.55</v>
      </c>
      <c r="E4" s="4">
        <f t="shared" si="2"/>
        <v>0.02</v>
      </c>
      <c r="F4" s="4">
        <v>11.02</v>
      </c>
      <c r="G4">
        <f t="shared" si="3"/>
        <v>0.001681</v>
      </c>
      <c r="H4">
        <f t="shared" si="4"/>
        <v>0.03636363636</v>
      </c>
      <c r="I4">
        <f t="shared" si="5"/>
        <v>0.001681</v>
      </c>
    </row>
    <row r="5">
      <c r="A5" s="4">
        <v>4.0</v>
      </c>
      <c r="B5" s="4">
        <v>0.5</v>
      </c>
      <c r="C5" s="4">
        <v>1.286</v>
      </c>
      <c r="D5" s="10">
        <f t="shared" si="1"/>
        <v>0.51</v>
      </c>
      <c r="E5" s="4">
        <f t="shared" si="2"/>
        <v>0.02</v>
      </c>
      <c r="F5" s="4">
        <v>12.86</v>
      </c>
      <c r="G5">
        <f t="shared" si="3"/>
        <v>0.000001</v>
      </c>
      <c r="H5">
        <f t="shared" si="4"/>
        <v>0.03921568627</v>
      </c>
      <c r="I5">
        <f t="shared" si="5"/>
        <v>0.000001</v>
      </c>
    </row>
    <row r="6">
      <c r="A6" s="4">
        <v>5.0</v>
      </c>
      <c r="B6" s="4">
        <v>0.6</v>
      </c>
      <c r="C6" s="4">
        <v>1.49</v>
      </c>
      <c r="D6" s="10">
        <f t="shared" si="1"/>
        <v>0.5</v>
      </c>
      <c r="E6" s="4">
        <f t="shared" si="2"/>
        <v>0.01</v>
      </c>
      <c r="F6" s="4">
        <v>14.9</v>
      </c>
      <c r="G6">
        <f t="shared" si="3"/>
        <v>0.000081</v>
      </c>
      <c r="H6">
        <f t="shared" si="4"/>
        <v>0.02</v>
      </c>
      <c r="I6">
        <f t="shared" si="5"/>
        <v>0.000081</v>
      </c>
    </row>
    <row r="7">
      <c r="A7" s="4">
        <v>6.0</v>
      </c>
      <c r="B7" s="4">
        <v>0.7</v>
      </c>
      <c r="C7" s="4">
        <v>1.322</v>
      </c>
      <c r="D7" s="10">
        <f t="shared" si="1"/>
        <v>0.38</v>
      </c>
      <c r="E7" s="4">
        <f t="shared" si="2"/>
        <v>0.01</v>
      </c>
      <c r="F7" s="4">
        <v>16.55</v>
      </c>
      <c r="G7">
        <f t="shared" si="3"/>
        <v>0.016641</v>
      </c>
      <c r="H7">
        <f t="shared" si="4"/>
        <v>0.02631578947</v>
      </c>
      <c r="I7">
        <f t="shared" si="5"/>
        <v>0.016641</v>
      </c>
    </row>
    <row r="8">
      <c r="A8" s="4">
        <v>7.0</v>
      </c>
      <c r="B8" s="4">
        <v>0.8</v>
      </c>
      <c r="C8" s="4">
        <v>1.956</v>
      </c>
      <c r="D8" s="10">
        <f t="shared" si="1"/>
        <v>0.49</v>
      </c>
      <c r="E8" s="4">
        <f t="shared" si="2"/>
        <v>0.01</v>
      </c>
      <c r="F8" s="4">
        <v>19.56</v>
      </c>
      <c r="G8">
        <f t="shared" si="3"/>
        <v>0.000361</v>
      </c>
      <c r="H8">
        <f t="shared" si="4"/>
        <v>0.02040816327</v>
      </c>
      <c r="I8">
        <f t="shared" si="5"/>
        <v>0.000361</v>
      </c>
    </row>
    <row r="9">
      <c r="A9" s="4">
        <v>8.0</v>
      </c>
      <c r="B9" s="4">
        <v>0.9</v>
      </c>
      <c r="C9" s="4">
        <v>2.177</v>
      </c>
      <c r="D9" s="10">
        <f t="shared" si="1"/>
        <v>0.48</v>
      </c>
      <c r="E9" s="4">
        <f t="shared" si="2"/>
        <v>0.01</v>
      </c>
      <c r="F9" s="4">
        <v>21.72</v>
      </c>
      <c r="G9">
        <f t="shared" si="3"/>
        <v>0.000841</v>
      </c>
      <c r="H9">
        <f t="shared" si="4"/>
        <v>0.02083333333</v>
      </c>
      <c r="I9">
        <f t="shared" si="5"/>
        <v>0.000841</v>
      </c>
    </row>
    <row r="10">
      <c r="A10" s="4">
        <v>9.0</v>
      </c>
      <c r="B10" s="4">
        <v>1.0</v>
      </c>
      <c r="C10" s="4">
        <v>2.509</v>
      </c>
      <c r="D10" s="10">
        <f t="shared" si="1"/>
        <v>0.5</v>
      </c>
      <c r="E10" s="4">
        <f t="shared" si="2"/>
        <v>0.01</v>
      </c>
      <c r="F10" s="4">
        <v>25.09</v>
      </c>
      <c r="G10">
        <f t="shared" si="3"/>
        <v>0.000081</v>
      </c>
      <c r="H10">
        <f t="shared" si="4"/>
        <v>0.02</v>
      </c>
      <c r="I10">
        <f t="shared" si="5"/>
        <v>0.000081</v>
      </c>
    </row>
    <row r="11">
      <c r="A11" s="4">
        <v>10.0</v>
      </c>
      <c r="B11" s="4">
        <v>1.1</v>
      </c>
      <c r="C11" s="4">
        <v>2.97</v>
      </c>
      <c r="D11" s="10">
        <f t="shared" si="1"/>
        <v>0.54</v>
      </c>
      <c r="E11" s="4">
        <f t="shared" si="2"/>
        <v>0.01</v>
      </c>
      <c r="F11" s="4">
        <v>29.7</v>
      </c>
      <c r="G11">
        <f t="shared" si="3"/>
        <v>0.000961</v>
      </c>
      <c r="H11">
        <f t="shared" si="4"/>
        <v>0.01851851852</v>
      </c>
      <c r="I11">
        <f t="shared" si="5"/>
        <v>0.000961</v>
      </c>
    </row>
    <row r="12">
      <c r="A12" s="4"/>
      <c r="C12" s="4" t="s">
        <v>30</v>
      </c>
      <c r="D12" s="6">
        <f t="shared" ref="D12:E12" si="6">AVERAGE(D2:D11)</f>
        <v>0.509</v>
      </c>
      <c r="E12" s="6">
        <f t="shared" si="6"/>
        <v>0.017</v>
      </c>
      <c r="G12">
        <f>SUM(G2:G11)</f>
        <v>0.02809</v>
      </c>
      <c r="I12" s="6">
        <f>SUM(I2:I11)*(1/90)</f>
        <v>0.0003121111111</v>
      </c>
    </row>
    <row r="13">
      <c r="K13">
        <f>SQRT(I12)</f>
        <v>0.01766666667</v>
      </c>
    </row>
    <row r="16">
      <c r="G16" s="4" t="s">
        <v>28</v>
      </c>
    </row>
    <row r="17">
      <c r="D17" s="11">
        <f>ABS((1/(5*0.2))*0.01)+ABS((0.59/5)*((-1/POWER(0.2,2))*0.01))+ABS((0.2/B2)*(-1/POWER(5,2))*0.01)</f>
        <v>0.0399</v>
      </c>
      <c r="G17">
        <f>SQRT(1/90*G12)</f>
        <v>0.01766666667</v>
      </c>
    </row>
    <row r="22">
      <c r="G22">
        <f>3*G17</f>
        <v>0.053</v>
      </c>
    </row>
    <row r="25">
      <c r="C25">
        <f>0.053+0.017</f>
        <v>0.07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4" t="s">
        <v>16</v>
      </c>
    </row>
    <row r="2">
      <c r="A2" s="7">
        <v>1.0</v>
      </c>
      <c r="B2" s="9">
        <v>0.2</v>
      </c>
      <c r="C2" s="9">
        <v>0.57</v>
      </c>
      <c r="D2" s="9">
        <v>0.57</v>
      </c>
      <c r="E2" s="9" t="s">
        <v>19</v>
      </c>
      <c r="F2" s="9">
        <v>5.7</v>
      </c>
      <c r="G2">
        <f t="shared" ref="G2:G11" si="1">POWER(D2-$D$12,2)</f>
        <v>0.0026790976</v>
      </c>
    </row>
    <row r="3">
      <c r="A3" s="7">
        <v>2.0</v>
      </c>
      <c r="B3" s="9">
        <v>0.3</v>
      </c>
      <c r="C3" s="9">
        <v>0.857</v>
      </c>
      <c r="D3" s="9">
        <v>0.571</v>
      </c>
      <c r="E3" s="9" t="s">
        <v>19</v>
      </c>
      <c r="F3" s="9">
        <v>8.57</v>
      </c>
      <c r="G3">
        <f t="shared" si="1"/>
        <v>0.0027836176</v>
      </c>
    </row>
    <row r="4">
      <c r="A4" s="7">
        <v>3.0</v>
      </c>
      <c r="B4" s="9">
        <v>0.4</v>
      </c>
      <c r="C4" s="9">
        <v>1.102</v>
      </c>
      <c r="D4" s="9">
        <v>0.551</v>
      </c>
      <c r="E4" s="9" t="s">
        <v>20</v>
      </c>
      <c r="F4" s="9">
        <v>11.02</v>
      </c>
      <c r="G4">
        <f t="shared" si="1"/>
        <v>0.0010732176</v>
      </c>
    </row>
    <row r="5">
      <c r="A5" s="7">
        <v>4.0</v>
      </c>
      <c r="B5" s="9">
        <v>0.5</v>
      </c>
      <c r="C5" s="9">
        <v>1.286</v>
      </c>
      <c r="D5" s="9">
        <v>0.5144</v>
      </c>
      <c r="E5" s="9" t="s">
        <v>21</v>
      </c>
      <c r="F5" s="9">
        <v>12.86</v>
      </c>
      <c r="G5">
        <f t="shared" si="1"/>
        <v>0.0000147456</v>
      </c>
    </row>
    <row r="6">
      <c r="A6" s="7">
        <v>5.0</v>
      </c>
      <c r="B6" s="9">
        <v>0.6</v>
      </c>
      <c r="C6" s="9">
        <v>1.49</v>
      </c>
      <c r="D6" s="9">
        <v>0.496</v>
      </c>
      <c r="E6" s="9" t="s">
        <v>21</v>
      </c>
      <c r="F6" s="9">
        <v>14.9</v>
      </c>
      <c r="G6">
        <f t="shared" si="1"/>
        <v>0.0004946176</v>
      </c>
    </row>
    <row r="7">
      <c r="A7" s="7">
        <v>6.0</v>
      </c>
      <c r="B7" s="9">
        <v>0.7</v>
      </c>
      <c r="C7" s="9">
        <v>1.322</v>
      </c>
      <c r="D7" s="9">
        <v>0.47</v>
      </c>
      <c r="E7" s="9" t="s">
        <v>24</v>
      </c>
      <c r="F7" s="9">
        <v>16.55</v>
      </c>
      <c r="G7">
        <f t="shared" si="1"/>
        <v>0.0023270976</v>
      </c>
    </row>
    <row r="8">
      <c r="A8" s="7">
        <v>7.0</v>
      </c>
      <c r="B8" s="9">
        <v>0.8</v>
      </c>
      <c r="C8" s="9">
        <v>1.956</v>
      </c>
      <c r="D8" s="9">
        <v>0.489</v>
      </c>
      <c r="E8" s="9" t="s">
        <v>21</v>
      </c>
      <c r="F8" s="9">
        <v>19.56</v>
      </c>
      <c r="G8">
        <f t="shared" si="1"/>
        <v>0.0008549776</v>
      </c>
    </row>
    <row r="9">
      <c r="A9" s="7">
        <v>8.0</v>
      </c>
      <c r="B9" s="9">
        <v>0.9</v>
      </c>
      <c r="C9" s="9">
        <v>2.177</v>
      </c>
      <c r="D9" s="9">
        <v>0.48</v>
      </c>
      <c r="E9" s="9" t="s">
        <v>21</v>
      </c>
      <c r="F9" s="9">
        <v>21.72</v>
      </c>
      <c r="G9">
        <f t="shared" si="1"/>
        <v>0.0014622976</v>
      </c>
    </row>
    <row r="10">
      <c r="A10" s="7">
        <v>9.0</v>
      </c>
      <c r="B10" s="9">
        <v>1.0</v>
      </c>
      <c r="C10" s="9">
        <v>2.509</v>
      </c>
      <c r="D10" s="9">
        <v>0.501</v>
      </c>
      <c r="E10" s="9" t="s">
        <v>26</v>
      </c>
      <c r="F10" s="9">
        <v>25.09</v>
      </c>
      <c r="G10">
        <f t="shared" si="1"/>
        <v>0.0002972176</v>
      </c>
    </row>
    <row r="11">
      <c r="A11" s="7">
        <v>10.0</v>
      </c>
      <c r="B11" s="9">
        <v>1.1</v>
      </c>
      <c r="C11" s="9">
        <v>2.97</v>
      </c>
      <c r="D11" s="9">
        <v>0.54</v>
      </c>
      <c r="E11" s="9" t="s">
        <v>20</v>
      </c>
      <c r="F11" s="9">
        <v>29.7</v>
      </c>
      <c r="G11">
        <f t="shared" si="1"/>
        <v>0.0004734976</v>
      </c>
      <c r="H11" s="4" t="s">
        <v>28</v>
      </c>
      <c r="I11" s="4" t="s">
        <v>29</v>
      </c>
    </row>
    <row r="12">
      <c r="D12">
        <f>AVERAGE(D2:D11)</f>
        <v>0.51824</v>
      </c>
      <c r="G12">
        <f>SUM(G2:G11)*(1/90)</f>
        <v>0.0001384487111</v>
      </c>
      <c r="H12" s="6">
        <f>SQRT(G12)</f>
        <v>0.01176642304</v>
      </c>
      <c r="I12">
        <f>H12*3</f>
        <v>0.03529926911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.86"/>
    <col customWidth="1" min="2" max="5" width="5.71"/>
    <col customWidth="1" min="6" max="6" width="9.43"/>
    <col customWidth="1" min="7" max="7" width="9.86"/>
    <col customWidth="1" min="8" max="8" width="11.71"/>
    <col customWidth="1" min="9" max="9" width="6.71"/>
    <col customWidth="1" min="10" max="10" width="14.86"/>
  </cols>
  <sheetData>
    <row r="1">
      <c r="A1" s="1"/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 t="s">
        <v>18</v>
      </c>
      <c r="B2" s="4">
        <v>50.32</v>
      </c>
      <c r="C2" s="4">
        <v>50.53</v>
      </c>
      <c r="D2" s="4">
        <v>50.79</v>
      </c>
      <c r="E2" s="4">
        <v>50.54</v>
      </c>
      <c r="F2" s="4">
        <f t="shared" ref="F2:F5" si="1">AVERAGE(B2:E2)</f>
        <v>50.545</v>
      </c>
      <c r="G2" s="8">
        <v>0.39</v>
      </c>
      <c r="H2" s="4">
        <f t="shared" ref="H2:H5" si="2">(F2)/(5*G2)</f>
        <v>25.92051282</v>
      </c>
      <c r="I2" s="4">
        <v>0.6</v>
      </c>
      <c r="J2">
        <f t="shared" ref="J2:J5" si="3">SQRT((1/(4*3))*SUM(POWER(B2-F2,2),POWER(C2-F2,2),POWER(D2-F2,2),POWER(E2-F2,2)))</f>
        <v>0.09613358761</v>
      </c>
      <c r="K2">
        <f t="shared" ref="K2:K5" si="4">3*J2*1.3</f>
        <v>0.3749209917</v>
      </c>
    </row>
    <row r="3">
      <c r="A3" s="1" t="s">
        <v>22</v>
      </c>
      <c r="B3" s="4">
        <v>31.19</v>
      </c>
      <c r="C3" s="4">
        <v>31.41</v>
      </c>
      <c r="D3" s="4">
        <v>31.59</v>
      </c>
      <c r="E3" s="4">
        <v>31.39</v>
      </c>
      <c r="F3" s="4">
        <f t="shared" si="1"/>
        <v>31.395</v>
      </c>
      <c r="G3" s="8">
        <v>0.33</v>
      </c>
      <c r="H3" s="4">
        <f t="shared" si="2"/>
        <v>19.02727273</v>
      </c>
      <c r="I3" s="4">
        <v>9.0E-4</v>
      </c>
      <c r="J3">
        <f t="shared" si="3"/>
        <v>0.08180260795</v>
      </c>
      <c r="K3">
        <f t="shared" si="4"/>
        <v>0.319030171</v>
      </c>
    </row>
    <row r="4">
      <c r="A4" s="1" t="s">
        <v>23</v>
      </c>
      <c r="B4" s="4">
        <v>23.95</v>
      </c>
      <c r="C4" s="4">
        <v>23.76</v>
      </c>
      <c r="D4" s="4">
        <v>23.59</v>
      </c>
      <c r="E4" s="4">
        <v>23.72</v>
      </c>
      <c r="F4" s="4">
        <f t="shared" si="1"/>
        <v>23.755</v>
      </c>
      <c r="G4" s="8">
        <v>0.35</v>
      </c>
      <c r="H4" s="4">
        <f t="shared" si="2"/>
        <v>13.57428571</v>
      </c>
      <c r="I4" s="4">
        <v>0.068</v>
      </c>
      <c r="J4">
        <f t="shared" si="3"/>
        <v>0.07444237145</v>
      </c>
      <c r="K4">
        <f t="shared" si="4"/>
        <v>0.2903252486</v>
      </c>
    </row>
    <row r="5">
      <c r="A5" s="1" t="s">
        <v>25</v>
      </c>
      <c r="B5" s="4">
        <v>16.13</v>
      </c>
      <c r="C5" s="4">
        <v>16.16</v>
      </c>
      <c r="D5" s="4">
        <v>16.17</v>
      </c>
      <c r="E5" s="4">
        <v>16.1</v>
      </c>
      <c r="F5" s="4">
        <f t="shared" si="1"/>
        <v>16.14</v>
      </c>
      <c r="G5" s="8">
        <v>0.22</v>
      </c>
      <c r="H5" s="4">
        <f t="shared" si="2"/>
        <v>14.67272727</v>
      </c>
      <c r="I5" s="4">
        <v>0.3</v>
      </c>
      <c r="J5">
        <f t="shared" si="3"/>
        <v>0.0158113883</v>
      </c>
      <c r="K5">
        <f t="shared" si="4"/>
        <v>0.06166441437</v>
      </c>
    </row>
    <row r="6">
      <c r="A6" s="6"/>
    </row>
    <row r="7">
      <c r="A7" s="6"/>
      <c r="G7" s="4" t="s">
        <v>27</v>
      </c>
    </row>
    <row r="8">
      <c r="A8" s="6"/>
    </row>
    <row r="9">
      <c r="A9" s="6"/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