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10.png" ContentType="image/png"/>
  <Override PartName="/xl/media/image11.png" ContentType="image/png"/>
  <Override PartName="/xl/media/image12.png" ContentType="image/png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2"/>
    <sheet name="Sheet1" sheetId="2" state="visible" r:id="rId3"/>
    <sheet name="Arkusz2" sheetId="3" state="visible" r:id="rId4"/>
    <sheet name="Arkusz4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<sst xmlns="http://schemas.openxmlformats.org/spreadsheetml/2006/main" count="67" uniqueCount="45">
  <si>
    <t xml:space="preserve">Ampery </t>
  </si>
  <si>
    <t xml:space="preserve">mili Volty</t>
  </si>
  <si>
    <t xml:space="preserve">V</t>
  </si>
  <si>
    <t xml:space="preserve">B=</t>
  </si>
  <si>
    <t xml:space="preserve">H=</t>
  </si>
  <si>
    <t xml:space="preserve">^ +kierunek prądu</t>
  </si>
  <si>
    <t xml:space="preserve">^ - kierunek prądu</t>
  </si>
  <si>
    <t xml:space="preserve">^ + kierunek prądu</t>
  </si>
  <si>
    <t xml:space="preserve">pełna charakterystyka</t>
  </si>
  <si>
    <t xml:space="preserve">Uh w [V]</t>
  </si>
  <si>
    <t xml:space="preserve">λ [nm]</t>
  </si>
  <si>
    <t xml:space="preserve">U2 mV</t>
  </si>
  <si>
    <t xml:space="preserve">R omy</t>
  </si>
  <si>
    <t xml:space="preserve">I=U2/R ampery</t>
  </si>
  <si>
    <r>
      <rPr>
        <sz val="11"/>
        <color rgb="FF000000"/>
        <rFont val="Calibri"/>
        <family val="2"/>
        <charset val="238"/>
      </rPr>
      <t xml:space="preserve">µ</t>
    </r>
    <r>
      <rPr>
        <sz val="11"/>
        <color rgb="FF000000"/>
        <rFont val="Arial"/>
        <family val="0"/>
        <charset val="238"/>
      </rPr>
      <t xml:space="preserve">A</t>
    </r>
  </si>
  <si>
    <t xml:space="preserve">U1 </t>
  </si>
  <si>
    <t xml:space="preserve">I</t>
  </si>
  <si>
    <t xml:space="preserve">U1 [V]</t>
  </si>
  <si>
    <t xml:space="preserve">U2  [mV]</t>
  </si>
  <si>
    <r>
      <rPr>
        <sz val="11"/>
        <color rgb="FF000000"/>
        <rFont val="Arial"/>
        <family val="0"/>
        <charset val="238"/>
      </rPr>
      <t xml:space="preserve">Uh</t>
    </r>
    <r>
      <rPr>
        <sz val="6"/>
        <color rgb="FF000000"/>
        <rFont val="Arial"/>
        <family val="0"/>
        <charset val="238"/>
      </rPr>
      <t xml:space="preserve">1 </t>
    </r>
    <r>
      <rPr>
        <sz val="10"/>
        <color rgb="FF000000"/>
        <rFont val="Arial"/>
        <family val="0"/>
        <charset val="238"/>
      </rPr>
      <t xml:space="preserve">[V]</t>
    </r>
  </si>
  <si>
    <r>
      <rPr>
        <sz val="11"/>
        <color rgb="FF000000"/>
        <rFont val="Arial"/>
        <family val="0"/>
        <charset val="238"/>
      </rPr>
      <t xml:space="preserve">Uh</t>
    </r>
    <r>
      <rPr>
        <sz val="6"/>
        <color rgb="FF000000"/>
        <rFont val="Arial"/>
        <family val="0"/>
        <charset val="238"/>
      </rPr>
      <t xml:space="preserve">2</t>
    </r>
    <r>
      <rPr>
        <sz val="11"/>
        <color rgb="FF000000"/>
        <rFont val="Arial"/>
        <family val="0"/>
        <charset val="238"/>
      </rPr>
      <t xml:space="preserve"> [V]</t>
    </r>
  </si>
  <si>
    <r>
      <rPr>
        <sz val="11"/>
        <color rgb="FF000000"/>
        <rFont val="Arial"/>
        <family val="0"/>
        <charset val="238"/>
      </rPr>
      <t xml:space="preserve">Uh</t>
    </r>
    <r>
      <rPr>
        <sz val="6"/>
        <color rgb="FF000000"/>
        <rFont val="Arial"/>
        <family val="0"/>
        <charset val="238"/>
      </rPr>
      <t xml:space="preserve">3</t>
    </r>
    <r>
      <rPr>
        <sz val="11"/>
        <color rgb="FF000000"/>
        <rFont val="Arial"/>
        <family val="0"/>
        <charset val="238"/>
      </rPr>
      <t xml:space="preserve"> [V]</t>
    </r>
  </si>
  <si>
    <r>
      <rPr>
        <sz val="11"/>
        <color rgb="FF000000"/>
        <rFont val="Arial"/>
        <family val="0"/>
        <charset val="238"/>
      </rPr>
      <t xml:space="preserve">Uh</t>
    </r>
    <r>
      <rPr>
        <sz val="6"/>
        <color rgb="FF000000"/>
        <rFont val="Arial"/>
        <family val="0"/>
        <charset val="238"/>
      </rPr>
      <t xml:space="preserve">4</t>
    </r>
    <r>
      <rPr>
        <sz val="11"/>
        <color rgb="FF000000"/>
        <rFont val="Arial"/>
        <family val="0"/>
        <charset val="238"/>
      </rPr>
      <t xml:space="preserve"> [V]</t>
    </r>
  </si>
  <si>
    <r>
      <rPr>
        <sz val="11"/>
        <color rgb="FF000000"/>
        <rFont val="Arial"/>
        <family val="0"/>
        <charset val="238"/>
      </rPr>
      <t xml:space="preserve">Uh</t>
    </r>
    <r>
      <rPr>
        <sz val="6"/>
        <color rgb="FF000000"/>
        <rFont val="Arial"/>
        <family val="0"/>
        <charset val="238"/>
      </rPr>
      <t xml:space="preserve">5</t>
    </r>
    <r>
      <rPr>
        <sz val="11"/>
        <color rgb="FF000000"/>
        <rFont val="Arial"/>
        <family val="0"/>
        <charset val="238"/>
      </rPr>
      <t xml:space="preserve"> [V]</t>
    </r>
  </si>
  <si>
    <r>
      <rPr>
        <sz val="11"/>
        <color rgb="FF000000"/>
        <rFont val="Arial"/>
        <family val="0"/>
        <charset val="238"/>
      </rPr>
      <t xml:space="preserve">Uh</t>
    </r>
    <r>
      <rPr>
        <sz val="6"/>
        <color rgb="FF000000"/>
        <rFont val="Arial"/>
        <family val="0"/>
        <charset val="238"/>
      </rPr>
      <t xml:space="preserve">sr</t>
    </r>
  </si>
  <si>
    <t xml:space="preserve">f</t>
  </si>
  <si>
    <t xml:space="preserve">ν = v/λ, v= c</t>
  </si>
  <si>
    <t xml:space="preserve">f  [Hz]</t>
  </si>
  <si>
    <t xml:space="preserve">h=</t>
  </si>
  <si>
    <t xml:space="preserve">h=ae</t>
  </si>
  <si>
    <t xml:space="preserve">W=be</t>
  </si>
  <si>
    <t xml:space="preserve">a</t>
  </si>
  <si>
    <t xml:space="preserve">3,5374*10^-15</t>
  </si>
  <si>
    <t xml:space="preserve">b</t>
  </si>
  <si>
    <t xml:space="preserve">e</t>
  </si>
  <si>
    <t xml:space="preserve">1,6021892*10^-19</t>
  </si>
  <si>
    <t xml:space="preserve">niepewność wsółczynnika nachylenia</t>
  </si>
  <si>
    <t xml:space="preserve">niepewność przecięcia z osią Y</t>
  </si>
  <si>
    <t xml:space="preserve">5,9981*10^-17</t>
  </si>
  <si>
    <t xml:space="preserve">delta h</t>
  </si>
  <si>
    <t xml:space="preserve">delta W</t>
  </si>
  <si>
    <r>
      <rPr>
        <sz val="11"/>
        <color rgb="FF000000"/>
        <rFont val="Arial"/>
        <family val="0"/>
        <charset val="238"/>
      </rPr>
      <t xml:space="preserve">I</t>
    </r>
    <r>
      <rPr>
        <sz val="7"/>
        <color rgb="FF000000"/>
        <rFont val="Arial"/>
        <family val="0"/>
        <charset val="238"/>
      </rPr>
      <t xml:space="preserve">B</t>
    </r>
    <r>
      <rPr>
        <sz val="11"/>
        <color rgb="FF000000"/>
        <rFont val="Arial"/>
        <family val="0"/>
        <charset val="238"/>
      </rPr>
      <t xml:space="preserve"> [A]</t>
    </r>
  </si>
  <si>
    <r>
      <rPr>
        <sz val="11"/>
        <color rgb="FF000000"/>
        <rFont val="Arial"/>
        <family val="0"/>
        <charset val="238"/>
      </rPr>
      <t xml:space="preserve">U</t>
    </r>
    <r>
      <rPr>
        <sz val="7"/>
        <color rgb="FF000000"/>
        <rFont val="Arial"/>
        <family val="0"/>
        <charset val="238"/>
      </rPr>
      <t xml:space="preserve">H</t>
    </r>
    <r>
      <rPr>
        <sz val="11"/>
        <color rgb="FF000000"/>
        <rFont val="Arial"/>
        <family val="0"/>
        <charset val="238"/>
      </rPr>
      <t xml:space="preserve"> [mV]</t>
    </r>
  </si>
  <si>
    <t xml:space="preserve">B [T]</t>
  </si>
  <si>
    <t xml:space="preserve">H[A/m]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</si>
</sst>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E+00"/>
    <numFmt numFmtId="167" formatCode="0.0"/>
    <numFmt numFmtId="168" formatCode="0.000E+00"/>
    <numFmt numFmtId="169" formatCode="@"/>
    <numFmt numFmtId="170" formatCode="0.0000E+00"/>
  </numFmts>
  <fonts count="27">
    <font>
      <sz val="11"/>
      <color rgb="FF00000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color rgb="FFFFFFFF"/>
      <name val="Arial"/>
      <family val="0"/>
      <charset val="238"/>
    </font>
    <font>
      <b val="true"/>
      <sz val="10"/>
      <color rgb="FF000000"/>
      <name val="Arial"/>
      <family val="0"/>
      <charset val="238"/>
    </font>
    <font>
      <sz val="10"/>
      <color rgb="FFCC0000"/>
      <name val="Arial"/>
      <family val="0"/>
      <charset val="238"/>
    </font>
    <font>
      <b val="true"/>
      <sz val="10"/>
      <color rgb="FFFFFFFF"/>
      <name val="Arial"/>
      <family val="0"/>
      <charset val="238"/>
    </font>
    <font>
      <i val="true"/>
      <sz val="10"/>
      <color rgb="FF808080"/>
      <name val="Arial"/>
      <family val="0"/>
      <charset val="238"/>
    </font>
    <font>
      <sz val="10"/>
      <color rgb="FF006600"/>
      <name val="Arial"/>
      <family val="0"/>
      <charset val="238"/>
    </font>
    <font>
      <sz val="18"/>
      <color rgb="FF000000"/>
      <name val="Arial"/>
      <family val="0"/>
      <charset val="238"/>
    </font>
    <font>
      <sz val="12"/>
      <color rgb="FF000000"/>
      <name val="Arial"/>
      <family val="0"/>
      <charset val="238"/>
    </font>
    <font>
      <sz val="10"/>
      <color rgb="FF996600"/>
      <name val="Arial"/>
      <family val="0"/>
      <charset val="238"/>
    </font>
    <font>
      <sz val="10"/>
      <color rgb="FF333333"/>
      <name val="Arial"/>
      <family val="0"/>
      <charset val="238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sz val="11"/>
      <color rgb="FF000000"/>
      <name val="Liberation Sans1"/>
      <family val="0"/>
      <charset val="238"/>
    </font>
    <font>
      <sz val="11"/>
      <color rgb="FF000000"/>
      <name val="Calibri"/>
      <family val="2"/>
      <charset val="238"/>
    </font>
    <font>
      <sz val="6"/>
      <color rgb="FF000000"/>
      <name val="Arial"/>
      <family val="0"/>
      <charset val="238"/>
    </font>
    <font>
      <sz val="10"/>
      <color rgb="FF000000"/>
      <name val="Arial"/>
      <family val="0"/>
      <charset val="238"/>
    </font>
    <font>
      <sz val="9"/>
      <color rgb="FF808080"/>
      <name val="Calibri"/>
      <family val="2"/>
    </font>
    <font>
      <b val="true"/>
      <sz val="9"/>
      <color rgb="FF808080"/>
      <name val="Calibri"/>
      <family val="2"/>
    </font>
    <font>
      <i val="true"/>
      <sz val="11"/>
      <color rgb="FF000000"/>
      <name val="Arial"/>
      <family val="0"/>
      <charset val="238"/>
    </font>
    <font>
      <sz val="14"/>
      <color rgb="FF000000"/>
      <name val="MathJax_Main"/>
      <family val="0"/>
      <charset val="238"/>
    </font>
    <font>
      <sz val="9"/>
      <color rgb="FF44546A"/>
      <name val="Calibri"/>
      <family val="2"/>
    </font>
    <font>
      <b val="true"/>
      <sz val="9"/>
      <color rgb="FF44546A"/>
      <name val="Calibri"/>
      <family val="2"/>
    </font>
    <font>
      <sz val="7"/>
      <color rgb="FF000000"/>
      <name val="Arial"/>
      <family val="0"/>
      <charset val="238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595959"/>
      </patternFill>
    </fill>
    <fill>
      <patternFill patternType="solid">
        <fgColor rgb="FFDDDDDD"/>
        <bgColor rgb="FFD9D9D9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E0E5EB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FF200"/>
        <bgColor rgb="FFFFFF38"/>
      </patternFill>
    </fill>
    <fill>
      <patternFill patternType="solid">
        <fgColor rgb="FF81D41A"/>
        <bgColor rgb="FFBFBFBF"/>
      </patternFill>
    </fill>
    <fill>
      <patternFill patternType="solid">
        <fgColor rgb="FFB4C7DC"/>
        <bgColor rgb="FFADB9CA"/>
      </patternFill>
    </fill>
    <fill>
      <patternFill patternType="solid">
        <fgColor rgb="FFFFFF38"/>
        <bgColor rgb="FFFFF2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3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8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2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Bad 8" xfId="24"/>
    <cellStyle name="Error 9" xfId="25"/>
    <cellStyle name="Footnote 10" xfId="26"/>
    <cellStyle name="Good 11" xfId="27"/>
    <cellStyle name="Heading 1 12" xfId="28"/>
    <cellStyle name="Heading 2 13" xfId="29"/>
    <cellStyle name="Neutral 14" xfId="30"/>
    <cellStyle name="Note 15" xfId="31"/>
    <cellStyle name="Status 16" xfId="32"/>
    <cellStyle name="Text 17" xfId="33"/>
    <cellStyle name="Warning 18" xfId="34"/>
  </cellStyles>
  <colors>
    <indexedColors>
      <rgbColor rgb="FF000000"/>
      <rgbColor rgb="FFFFFFFF"/>
      <rgbColor rgb="FFCC0000"/>
      <rgbColor rgb="FF00FF00"/>
      <rgbColor rgb="FF0000FF"/>
      <rgbColor rgb="FFFFF2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BFBFBF"/>
      <rgbColor rgb="FF808080"/>
      <rgbColor rgb="FFADB9CA"/>
      <rgbColor rgb="FF993366"/>
      <rgbColor rgb="FFFFFFCC"/>
      <rgbColor rgb="FFF2F2F2"/>
      <rgbColor rgb="FF660066"/>
      <rgbColor rgb="FFFF8080"/>
      <rgbColor rgb="FF0066CC"/>
      <rgbColor rgb="FFD9D9D9"/>
      <rgbColor rgb="FF000080"/>
      <rgbColor rgb="FFFF00FF"/>
      <rgbColor rgb="FFFFFF38"/>
      <rgbColor rgb="FF00FFFF"/>
      <rgbColor rgb="FF800080"/>
      <rgbColor rgb="FF800000"/>
      <rgbColor rgb="FF008080"/>
      <rgbColor rgb="FF0000FF"/>
      <rgbColor rgb="FF00CCFF"/>
      <rgbColor rgb="FFE0E5EB"/>
      <rgbColor rgb="FFCCFFCC"/>
      <rgbColor rgb="FFDDDDDD"/>
      <rgbColor rgb="FF99CCFF"/>
      <rgbColor rgb="FFFF99CC"/>
      <rgbColor rgb="FFB4C7DC"/>
      <rgbColor rgb="FFFFCCCC"/>
      <rgbColor rgb="FF3366FF"/>
      <rgbColor rgb="FF33CCCC"/>
      <rgbColor rgb="FF81D41A"/>
      <rgbColor rgb="FFFFCC00"/>
      <rgbColor rgb="FFFF9900"/>
      <rgbColor rgb="FFFF6600"/>
      <rgbColor rgb="FF595959"/>
      <rgbColor rgb="FF5B9BD5"/>
      <rgbColor rgb="FF003366"/>
      <rgbColor rgb="FF339966"/>
      <rgbColor rgb="FF003300"/>
      <rgbColor rgb="FF333300"/>
      <rgbColor rgb="FF993300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Marker"/>
        <c:varyColors val="0"/>
        <c:ser>
          <c:idx val="0"/>
          <c:order val="0"/>
          <c:spPr>
            <a:solidFill>
              <a:srgbClr val="5b9bd5"/>
            </a:solidFill>
            <a:ln w="19080">
              <a:noFill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numFmt formatCode="General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Arkusz1!$G$3:$G$78</c:f>
              <c:numCache>
                <c:formatCode>General</c:formatCode>
                <c:ptCount val="76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360</c:v>
                </c:pt>
                <c:pt idx="4">
                  <c:v>480</c:v>
                </c:pt>
                <c:pt idx="5">
                  <c:v>600</c:v>
                </c:pt>
                <c:pt idx="6">
                  <c:v>720</c:v>
                </c:pt>
                <c:pt idx="7">
                  <c:v>840</c:v>
                </c:pt>
                <c:pt idx="8">
                  <c:v>960</c:v>
                </c:pt>
                <c:pt idx="9">
                  <c:v>1080</c:v>
                </c:pt>
                <c:pt idx="10">
                  <c:v>1200</c:v>
                </c:pt>
                <c:pt idx="11">
                  <c:v>1320</c:v>
                </c:pt>
                <c:pt idx="12">
                  <c:v>1440</c:v>
                </c:pt>
                <c:pt idx="13">
                  <c:v>1560</c:v>
                </c:pt>
                <c:pt idx="14">
                  <c:v>1680</c:v>
                </c:pt>
                <c:pt idx="15">
                  <c:v>1800</c:v>
                </c:pt>
                <c:pt idx="16">
                  <c:v>1680</c:v>
                </c:pt>
                <c:pt idx="17">
                  <c:v>1560</c:v>
                </c:pt>
                <c:pt idx="18">
                  <c:v>1440</c:v>
                </c:pt>
                <c:pt idx="19">
                  <c:v>1320</c:v>
                </c:pt>
                <c:pt idx="20">
                  <c:v>1200</c:v>
                </c:pt>
                <c:pt idx="21">
                  <c:v>1080</c:v>
                </c:pt>
                <c:pt idx="22">
                  <c:v>960</c:v>
                </c:pt>
                <c:pt idx="23">
                  <c:v>840</c:v>
                </c:pt>
                <c:pt idx="24">
                  <c:v>720</c:v>
                </c:pt>
                <c:pt idx="25">
                  <c:v>600</c:v>
                </c:pt>
                <c:pt idx="26">
                  <c:v>480</c:v>
                </c:pt>
                <c:pt idx="27">
                  <c:v>360</c:v>
                </c:pt>
                <c:pt idx="28">
                  <c:v>240</c:v>
                </c:pt>
                <c:pt idx="29">
                  <c:v>120</c:v>
                </c:pt>
                <c:pt idx="30">
                  <c:v>0</c:v>
                </c:pt>
                <c:pt idx="31">
                  <c:v>-120</c:v>
                </c:pt>
                <c:pt idx="32">
                  <c:v>-240</c:v>
                </c:pt>
                <c:pt idx="33">
                  <c:v>-360</c:v>
                </c:pt>
                <c:pt idx="34">
                  <c:v>-480</c:v>
                </c:pt>
                <c:pt idx="35">
                  <c:v>-600</c:v>
                </c:pt>
                <c:pt idx="36">
                  <c:v>-720</c:v>
                </c:pt>
                <c:pt idx="37">
                  <c:v>-840</c:v>
                </c:pt>
                <c:pt idx="38">
                  <c:v>-960</c:v>
                </c:pt>
                <c:pt idx="39">
                  <c:v>-1080</c:v>
                </c:pt>
                <c:pt idx="40">
                  <c:v>-1200</c:v>
                </c:pt>
                <c:pt idx="41">
                  <c:v>-1320</c:v>
                </c:pt>
                <c:pt idx="42">
                  <c:v>-1440</c:v>
                </c:pt>
                <c:pt idx="43">
                  <c:v>-1560</c:v>
                </c:pt>
                <c:pt idx="44">
                  <c:v>-1680</c:v>
                </c:pt>
                <c:pt idx="45">
                  <c:v>-1800</c:v>
                </c:pt>
                <c:pt idx="46">
                  <c:v>-1680</c:v>
                </c:pt>
                <c:pt idx="47">
                  <c:v>-1560</c:v>
                </c:pt>
                <c:pt idx="48">
                  <c:v>-1440</c:v>
                </c:pt>
                <c:pt idx="49">
                  <c:v>-1320</c:v>
                </c:pt>
                <c:pt idx="50">
                  <c:v>-1200</c:v>
                </c:pt>
                <c:pt idx="51">
                  <c:v>-1080</c:v>
                </c:pt>
                <c:pt idx="52">
                  <c:v>-960</c:v>
                </c:pt>
                <c:pt idx="53">
                  <c:v>-840</c:v>
                </c:pt>
                <c:pt idx="54">
                  <c:v>-720</c:v>
                </c:pt>
                <c:pt idx="55">
                  <c:v>-600</c:v>
                </c:pt>
                <c:pt idx="56">
                  <c:v>-480</c:v>
                </c:pt>
                <c:pt idx="57">
                  <c:v>-360</c:v>
                </c:pt>
                <c:pt idx="58">
                  <c:v>-240</c:v>
                </c:pt>
                <c:pt idx="59">
                  <c:v>-120</c:v>
                </c:pt>
                <c:pt idx="60">
                  <c:v>-0</c:v>
                </c:pt>
                <c:pt idx="61">
                  <c:v>120</c:v>
                </c:pt>
                <c:pt idx="62">
                  <c:v>240</c:v>
                </c:pt>
                <c:pt idx="63">
                  <c:v>360</c:v>
                </c:pt>
                <c:pt idx="64">
                  <c:v>480</c:v>
                </c:pt>
                <c:pt idx="65">
                  <c:v>600</c:v>
                </c:pt>
                <c:pt idx="66">
                  <c:v>720</c:v>
                </c:pt>
                <c:pt idx="67">
                  <c:v>840</c:v>
                </c:pt>
                <c:pt idx="68">
                  <c:v>960</c:v>
                </c:pt>
                <c:pt idx="69">
                  <c:v>1080</c:v>
                </c:pt>
                <c:pt idx="70">
                  <c:v>1200</c:v>
                </c:pt>
                <c:pt idx="71">
                  <c:v>1320</c:v>
                </c:pt>
                <c:pt idx="72">
                  <c:v>1440</c:v>
                </c:pt>
                <c:pt idx="73">
                  <c:v>1560</c:v>
                </c:pt>
                <c:pt idx="74">
                  <c:v>1680</c:v>
                </c:pt>
                <c:pt idx="75">
                  <c:v>1800</c:v>
                </c:pt>
              </c:numCache>
            </c:numRef>
          </c:xVal>
          <c:yVal>
            <c:numRef>
              <c:f>Arkusz1!$F$3:$F$78</c:f>
              <c:numCache>
                <c:formatCode>General</c:formatCode>
                <c:ptCount val="76"/>
                <c:pt idx="0">
                  <c:v>0.0481428571428571</c:v>
                </c:pt>
                <c:pt idx="1">
                  <c:v>0.0506428571428571</c:v>
                </c:pt>
                <c:pt idx="2">
                  <c:v>0.0536428571428571</c:v>
                </c:pt>
                <c:pt idx="3">
                  <c:v>0.0566428571428571</c:v>
                </c:pt>
                <c:pt idx="4">
                  <c:v>0.0604285714285714</c:v>
                </c:pt>
                <c:pt idx="5">
                  <c:v>0.064</c:v>
                </c:pt>
                <c:pt idx="6">
                  <c:v>0.0706428571428571</c:v>
                </c:pt>
                <c:pt idx="7">
                  <c:v>0.0735</c:v>
                </c:pt>
                <c:pt idx="8">
                  <c:v>0.078</c:v>
                </c:pt>
                <c:pt idx="9">
                  <c:v>0.0830714285714286</c:v>
                </c:pt>
                <c:pt idx="10">
                  <c:v>0.0885</c:v>
                </c:pt>
                <c:pt idx="11">
                  <c:v>0.0946428571428571</c:v>
                </c:pt>
                <c:pt idx="12">
                  <c:v>0.0996428571428571</c:v>
                </c:pt>
                <c:pt idx="13">
                  <c:v>0.105</c:v>
                </c:pt>
                <c:pt idx="14">
                  <c:v>0.111785714285714</c:v>
                </c:pt>
                <c:pt idx="15">
                  <c:v>0.117642857142857</c:v>
                </c:pt>
                <c:pt idx="16">
                  <c:v>0.114928571428571</c:v>
                </c:pt>
                <c:pt idx="17">
                  <c:v>0.112357142857143</c:v>
                </c:pt>
                <c:pt idx="18">
                  <c:v>0.109571428571429</c:v>
                </c:pt>
                <c:pt idx="19">
                  <c:v>0.106571428571429</c:v>
                </c:pt>
                <c:pt idx="20">
                  <c:v>0.103428571428571</c:v>
                </c:pt>
                <c:pt idx="21">
                  <c:v>0.0998571428571429</c:v>
                </c:pt>
                <c:pt idx="22">
                  <c:v>0.0964285714285714</c:v>
                </c:pt>
                <c:pt idx="23">
                  <c:v>0.0925714285714285</c:v>
                </c:pt>
                <c:pt idx="24">
                  <c:v>0.0881428571428572</c:v>
                </c:pt>
                <c:pt idx="25">
                  <c:v>0.0828571428571429</c:v>
                </c:pt>
                <c:pt idx="26">
                  <c:v>0.078</c:v>
                </c:pt>
                <c:pt idx="27">
                  <c:v>0.0722142857142857</c:v>
                </c:pt>
                <c:pt idx="28">
                  <c:v>0.0657142857142857</c:v>
                </c:pt>
                <c:pt idx="29">
                  <c:v>0.0577142857142857</c:v>
                </c:pt>
                <c:pt idx="30">
                  <c:v>0.0497142857142857</c:v>
                </c:pt>
                <c:pt idx="31">
                  <c:v>0.0380714285714286</c:v>
                </c:pt>
                <c:pt idx="32">
                  <c:v>0.0247857142857143</c:v>
                </c:pt>
                <c:pt idx="33">
                  <c:v>0.0102142857142857</c:v>
                </c:pt>
                <c:pt idx="34">
                  <c:v>-0.00178571428571429</c:v>
                </c:pt>
                <c:pt idx="35">
                  <c:v>-0.0128571428571429</c:v>
                </c:pt>
                <c:pt idx="36">
                  <c:v>-0.0246428571428571</c:v>
                </c:pt>
                <c:pt idx="37">
                  <c:v>-0.0369285714285714</c:v>
                </c:pt>
                <c:pt idx="38">
                  <c:v>-0.0522142857142857</c:v>
                </c:pt>
                <c:pt idx="39">
                  <c:v>-0.0624285714285714</c:v>
                </c:pt>
                <c:pt idx="40">
                  <c:v>-0.0747857142857143</c:v>
                </c:pt>
                <c:pt idx="41">
                  <c:v>-0.0887142857142857</c:v>
                </c:pt>
                <c:pt idx="42">
                  <c:v>-0.0965714285714286</c:v>
                </c:pt>
                <c:pt idx="43">
                  <c:v>-0.106214285714286</c:v>
                </c:pt>
                <c:pt idx="44">
                  <c:v>-0.118928571428571</c:v>
                </c:pt>
                <c:pt idx="45">
                  <c:v>-0.125714285714286</c:v>
                </c:pt>
                <c:pt idx="46">
                  <c:v>-0.123</c:v>
                </c:pt>
                <c:pt idx="47">
                  <c:v>-0.120428571428571</c:v>
                </c:pt>
                <c:pt idx="48">
                  <c:v>-0.117571428571429</c:v>
                </c:pt>
                <c:pt idx="49">
                  <c:v>-0.114714285714286</c:v>
                </c:pt>
                <c:pt idx="50">
                  <c:v>-0.1115</c:v>
                </c:pt>
                <c:pt idx="51">
                  <c:v>-0.108071428571429</c:v>
                </c:pt>
                <c:pt idx="52">
                  <c:v>-0.104357142857143</c:v>
                </c:pt>
                <c:pt idx="53">
                  <c:v>-0.100071428571429</c:v>
                </c:pt>
                <c:pt idx="54">
                  <c:v>-0.0956428571428571</c:v>
                </c:pt>
                <c:pt idx="55">
                  <c:v>-0.0905</c:v>
                </c:pt>
                <c:pt idx="56">
                  <c:v>-0.085</c:v>
                </c:pt>
                <c:pt idx="57">
                  <c:v>-0.0790714285714286</c:v>
                </c:pt>
                <c:pt idx="58">
                  <c:v>-0.0711428571428571</c:v>
                </c:pt>
                <c:pt idx="59">
                  <c:v>-0.0630714285714286</c:v>
                </c:pt>
                <c:pt idx="60">
                  <c:v>-0.0535</c:v>
                </c:pt>
                <c:pt idx="61">
                  <c:v>-0.042</c:v>
                </c:pt>
                <c:pt idx="62">
                  <c:v>-0.0292857142857143</c:v>
                </c:pt>
                <c:pt idx="63">
                  <c:v>-0.0160714285714286</c:v>
                </c:pt>
                <c:pt idx="64">
                  <c:v>-0.00335714285714286</c:v>
                </c:pt>
                <c:pt idx="65">
                  <c:v>0.0075</c:v>
                </c:pt>
                <c:pt idx="66">
                  <c:v>0.0195714285714286</c:v>
                </c:pt>
                <c:pt idx="67">
                  <c:v>0.0332857142857143</c:v>
                </c:pt>
                <c:pt idx="68">
                  <c:v>0.0464285714285714</c:v>
                </c:pt>
                <c:pt idx="69">
                  <c:v>0.0638571428571429</c:v>
                </c:pt>
                <c:pt idx="70">
                  <c:v>0.0717857142857143</c:v>
                </c:pt>
                <c:pt idx="71">
                  <c:v>0.0828571428571429</c:v>
                </c:pt>
                <c:pt idx="72">
                  <c:v>0.0920714285714286</c:v>
                </c:pt>
                <c:pt idx="73">
                  <c:v>0.101714285714286</c:v>
                </c:pt>
                <c:pt idx="74">
                  <c:v>0.109785714285714</c:v>
                </c:pt>
                <c:pt idx="75">
                  <c:v>0.118714285714286</c:v>
                </c:pt>
              </c:numCache>
            </c:numRef>
          </c:yVal>
          <c:smooth val="0"/>
        </c:ser>
        <c:axId val="12403064"/>
        <c:axId val="6668352"/>
      </c:scatterChart>
      <c:valAx>
        <c:axId val="1240306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latin typeface="Calibri"/>
                  </a:rPr>
                  <a:t>B</a:t>
                </a:r>
              </a:p>
            </c:rich>
          </c:tx>
          <c:layout>
            <c:manualLayout>
              <c:xMode val="edge"/>
              <c:yMode val="edge"/>
              <c:x val="0.449616335848817"/>
              <c:y val="0.948853349426675"/>
            </c:manualLayout>
          </c:layout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668352"/>
        <c:crosses val="autoZero"/>
        <c:crossBetween val="midCat"/>
      </c:valAx>
      <c:valAx>
        <c:axId val="66683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sz="1000" spc="-1" strike="noStrike">
                    <a:solidFill>
                      <a:srgbClr val="595959"/>
                    </a:solidFill>
                    <a:latin typeface="Calibri"/>
                  </a:rPr>
                  <a:t>H</a:t>
                </a:r>
              </a:p>
            </c:rich>
          </c:tx>
          <c:layout>
            <c:manualLayout>
              <c:xMode val="edge"/>
              <c:yMode val="edge"/>
              <c:x val="0.0117952945652863"/>
              <c:y val="0.426146650573325"/>
            </c:manualLayout>
          </c:layout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2403064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layout>
        <c:manualLayout>
          <c:xMode val="edge"/>
          <c:yMode val="edge"/>
          <c:x val="0.0264701869286396"/>
          <c:y val="0.0463254593175853"/>
          <c:w val="0.973495702005731"/>
          <c:h val="0.95118110236220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Sheet1!$X$3:$X$3</c:f>
              <c:strCache>
                <c:ptCount val="1"/>
                <c:pt idx="0">
                  <c:v>I</c:v>
                </c:pt>
              </c:strCache>
            </c:strRef>
          </c:tx>
          <c:spPr>
            <a:solidFill>
              <a:srgbClr val="5b9bd5"/>
            </a:solidFill>
            <a:ln w="25560">
              <a:noFill/>
            </a:ln>
          </c:spPr>
          <c:marker>
            <c:symbol val="circle"/>
            <c:size val="4"/>
            <c:spPr>
              <a:solidFill>
                <a:srgbClr val="5b9bd5"/>
              </a:solidFill>
            </c:spPr>
          </c:marker>
          <c:dLbls>
            <c:numFmt formatCode="General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Sheet1!$W$4:$W$33</c:f>
              <c:numCache>
                <c:formatCode>General</c:formatCode>
                <c:ptCount val="3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0.9</c:v>
                </c:pt>
                <c:pt idx="11">
                  <c:v>0.8</c:v>
                </c:pt>
                <c:pt idx="12">
                  <c:v>0.7</c:v>
                </c:pt>
                <c:pt idx="13">
                  <c:v>0.6</c:v>
                </c:pt>
                <c:pt idx="14">
                  <c:v>0.5</c:v>
                </c:pt>
                <c:pt idx="15">
                  <c:v>0.4</c:v>
                </c:pt>
                <c:pt idx="16">
                  <c:v>0.3</c:v>
                </c:pt>
                <c:pt idx="17">
                  <c:v>0.2</c:v>
                </c:pt>
                <c:pt idx="18">
                  <c:v>0.1</c:v>
                </c:pt>
                <c:pt idx="19">
                  <c:v>0</c:v>
                </c:pt>
                <c:pt idx="20">
                  <c:v>-0.1</c:v>
                </c:pt>
                <c:pt idx="21">
                  <c:v>-0.2</c:v>
                </c:pt>
                <c:pt idx="22">
                  <c:v>-0.3</c:v>
                </c:pt>
                <c:pt idx="23">
                  <c:v>-0.4</c:v>
                </c:pt>
                <c:pt idx="24">
                  <c:v>-0.5</c:v>
                </c:pt>
                <c:pt idx="25">
                  <c:v>-0.6</c:v>
                </c:pt>
                <c:pt idx="26">
                  <c:v>-0.7</c:v>
                </c:pt>
                <c:pt idx="27">
                  <c:v>-0.8</c:v>
                </c:pt>
                <c:pt idx="28">
                  <c:v>-0.9</c:v>
                </c:pt>
                <c:pt idx="29">
                  <c:v>-1</c:v>
                </c:pt>
              </c:numCache>
            </c:numRef>
          </c:xVal>
          <c:yVal>
            <c:numRef>
              <c:f>Sheet1!$X$4:$X$33</c:f>
              <c:numCache>
                <c:formatCode>General</c:formatCode>
                <c:ptCount val="30"/>
                <c:pt idx="0">
                  <c:v>3.18</c:v>
                </c:pt>
                <c:pt idx="1">
                  <c:v>3.085</c:v>
                </c:pt>
                <c:pt idx="2">
                  <c:v>2.953</c:v>
                </c:pt>
                <c:pt idx="3">
                  <c:v>2.8</c:v>
                </c:pt>
                <c:pt idx="4">
                  <c:v>2.654</c:v>
                </c:pt>
                <c:pt idx="5">
                  <c:v>2.516</c:v>
                </c:pt>
                <c:pt idx="6">
                  <c:v>2.245</c:v>
                </c:pt>
                <c:pt idx="7">
                  <c:v>1.841</c:v>
                </c:pt>
                <c:pt idx="8">
                  <c:v>1.4</c:v>
                </c:pt>
                <c:pt idx="9">
                  <c:v>0.666</c:v>
                </c:pt>
                <c:pt idx="10">
                  <c:v>0.585</c:v>
                </c:pt>
                <c:pt idx="11">
                  <c:v>0.503</c:v>
                </c:pt>
                <c:pt idx="12">
                  <c:v>0.423</c:v>
                </c:pt>
                <c:pt idx="13">
                  <c:v>0.352</c:v>
                </c:pt>
                <c:pt idx="14">
                  <c:v>0.285</c:v>
                </c:pt>
                <c:pt idx="15">
                  <c:v>0.227</c:v>
                </c:pt>
                <c:pt idx="16">
                  <c:v>0.172</c:v>
                </c:pt>
                <c:pt idx="17">
                  <c:v>0.122</c:v>
                </c:pt>
                <c:pt idx="18">
                  <c:v>0.082</c:v>
                </c:pt>
                <c:pt idx="19">
                  <c:v>0.052</c:v>
                </c:pt>
                <c:pt idx="20">
                  <c:v>0.029</c:v>
                </c:pt>
                <c:pt idx="21">
                  <c:v>0.016</c:v>
                </c:pt>
                <c:pt idx="22">
                  <c:v>0.012</c:v>
                </c:pt>
                <c:pt idx="23">
                  <c:v>0.011</c:v>
                </c:pt>
                <c:pt idx="24">
                  <c:v>0.011</c:v>
                </c:pt>
                <c:pt idx="25">
                  <c:v>0.011</c:v>
                </c:pt>
                <c:pt idx="26">
                  <c:v>0.011</c:v>
                </c:pt>
                <c:pt idx="27">
                  <c:v>0.011</c:v>
                </c:pt>
                <c:pt idx="28">
                  <c:v>0.011</c:v>
                </c:pt>
                <c:pt idx="29">
                  <c:v>0.011</c:v>
                </c:pt>
              </c:numCache>
            </c:numRef>
          </c:yVal>
          <c:smooth val="0"/>
        </c:ser>
        <c:axId val="80260485"/>
        <c:axId val="84465762"/>
      </c:scatterChart>
      <c:valAx>
        <c:axId val="80260485"/>
        <c:scaling>
          <c:orientation val="minMax"/>
          <c:max val="11"/>
          <c:min val="-2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900" spc="-1" strike="noStrike">
                    <a:solidFill>
                      <a:srgbClr val="808080"/>
                    </a:solidFill>
                    <a:latin typeface="Calibri"/>
                  </a:defRPr>
                </a:pPr>
                <a:r>
                  <a:rPr b="1" sz="900" spc="-1" strike="noStrike">
                    <a:solidFill>
                      <a:srgbClr val="808080"/>
                    </a:solidFill>
                    <a:latin typeface="Calibri"/>
                  </a:rPr>
                  <a:t>U1 [V]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808080"/>
                </a:solidFill>
                <a:latin typeface="Calibri"/>
              </a:defRPr>
            </a:pPr>
          </a:p>
        </c:txPr>
        <c:crossAx val="84465762"/>
        <c:crosses val="autoZero"/>
        <c:crossBetween val="midCat"/>
        <c:majorUnit val="1"/>
        <c:minorUnit val="0.1"/>
      </c:valAx>
      <c:valAx>
        <c:axId val="8446576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00" spc="-1" strike="noStrike">
                    <a:solidFill>
                      <a:srgbClr val="808080"/>
                    </a:solidFill>
                    <a:latin typeface="Calibri"/>
                  </a:defRPr>
                </a:pPr>
                <a:r>
                  <a:rPr b="1" sz="900" spc="-1" strike="noStrike">
                    <a:solidFill>
                      <a:srgbClr val="808080"/>
                    </a:solidFill>
                    <a:latin typeface="Calibri"/>
                  </a:rPr>
                  <a:t>I [µA]</a:t>
                </a:r>
              </a:p>
            </c:rich>
          </c:tx>
          <c:layout>
            <c:manualLayout>
              <c:xMode val="edge"/>
              <c:yMode val="edge"/>
              <c:x val="0.0121776504297994"/>
              <c:y val="0.369685039370079"/>
            </c:manualLayout>
          </c:layout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808080"/>
                </a:solidFill>
                <a:latin typeface="Calibri"/>
              </a:defRPr>
            </a:pPr>
          </a:p>
        </c:txPr>
        <c:crossAx val="80260485"/>
        <c:crossesAt val="0"/>
        <c:crossBetween val="midCat"/>
      </c:valAx>
      <c:spPr>
        <a:noFill/>
        <a:ln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100000">
          <a:srgbClr val="f2f2f2"/>
        </a:gs>
      </a:gsLst>
      <a:path path="circle"/>
    </a:gradFill>
    <a:ln w="1260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Marker"/>
        <c:varyColors val="0"/>
        <c:ser>
          <c:idx val="0"/>
          <c:order val="0"/>
          <c:spPr>
            <a:solidFill>
              <a:srgbClr val="99ccff"/>
            </a:solidFill>
            <a:ln w="19080">
              <a:noFill/>
            </a:ln>
          </c:spPr>
          <c:marker>
            <c:symbol val="square"/>
            <c:size val="5"/>
            <c:spPr>
              <a:solidFill>
                <a:srgbClr val="99ccff"/>
              </a:solidFill>
            </c:spPr>
          </c:marker>
          <c:dLbls>
            <c:numFmt formatCode="0.00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Sheet1!$G$5:$G$14</c:f>
              <c:numCache>
                <c:formatCode>General</c:formatCode>
                <c:ptCount val="10"/>
                <c:pt idx="0">
                  <c:v>400</c:v>
                </c:pt>
                <c:pt idx="1">
                  <c:v>425</c:v>
                </c:pt>
                <c:pt idx="2">
                  <c:v>436</c:v>
                </c:pt>
                <c:pt idx="3">
                  <c:v>500</c:v>
                </c:pt>
                <c:pt idx="4">
                  <c:v>550</c:v>
                </c:pt>
                <c:pt idx="5">
                  <c:v>575</c:v>
                </c:pt>
                <c:pt idx="6">
                  <c:v>600</c:v>
                </c:pt>
                <c:pt idx="7">
                  <c:v>625</c:v>
                </c:pt>
                <c:pt idx="8">
                  <c:v>650</c:v>
                </c:pt>
                <c:pt idx="9">
                  <c:v>675</c:v>
                </c:pt>
              </c:numCache>
            </c:numRef>
          </c:xVal>
          <c:yVal>
            <c:numRef>
              <c:f>Sheet1!$N$5:$N$14</c:f>
              <c:numCache>
                <c:formatCode>General</c:formatCode>
                <c:ptCount val="10"/>
                <c:pt idx="0">
                  <c:v>1.162</c:v>
                </c:pt>
                <c:pt idx="1">
                  <c:v>1.014</c:v>
                </c:pt>
                <c:pt idx="2">
                  <c:v>0.844</c:v>
                </c:pt>
                <c:pt idx="3">
                  <c:v>0.656</c:v>
                </c:pt>
                <c:pt idx="4">
                  <c:v>0.43</c:v>
                </c:pt>
                <c:pt idx="5">
                  <c:v>0.348</c:v>
                </c:pt>
                <c:pt idx="6">
                  <c:v>0.242</c:v>
                </c:pt>
                <c:pt idx="7">
                  <c:v>0.146</c:v>
                </c:pt>
                <c:pt idx="8">
                  <c:v>0.12</c:v>
                </c:pt>
                <c:pt idx="9">
                  <c:v>0.068</c:v>
                </c:pt>
              </c:numCache>
            </c:numRef>
          </c:yVal>
          <c:smooth val="0"/>
        </c:ser>
        <c:axId val="86116995"/>
        <c:axId val="1350771"/>
      </c:scatterChart>
      <c:valAx>
        <c:axId val="86116995"/>
        <c:scaling>
          <c:orientation val="minMax"/>
          <c:min val="350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350771"/>
        <c:crosses val="autoZero"/>
        <c:crossBetween val="midCat"/>
      </c:valAx>
      <c:valAx>
        <c:axId val="135077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6116995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Marker"/>
        <c:varyColors val="0"/>
        <c:ser>
          <c:idx val="0"/>
          <c:order val="0"/>
          <c:spPr>
            <a:solidFill>
              <a:srgbClr val="ffffff"/>
            </a:solidFill>
            <a:ln w="2556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numFmt formatCode="0.00" sourceLinked="1"/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Arkusz2!$C$6:$C$15</c:f>
              <c:numCache>
                <c:formatCode>General</c:formatCode>
                <c:ptCount val="10"/>
                <c:pt idx="0">
                  <c:v>750000000000000</c:v>
                </c:pt>
                <c:pt idx="1">
                  <c:v>705882352941177</c:v>
                </c:pt>
                <c:pt idx="2">
                  <c:v>688073394495413</c:v>
                </c:pt>
                <c:pt idx="3">
                  <c:v>600000000000000</c:v>
                </c:pt>
                <c:pt idx="4">
                  <c:v>545454545454545</c:v>
                </c:pt>
                <c:pt idx="5">
                  <c:v>521739130434783</c:v>
                </c:pt>
                <c:pt idx="6">
                  <c:v>500000000000000</c:v>
                </c:pt>
                <c:pt idx="7">
                  <c:v>480000000000000</c:v>
                </c:pt>
                <c:pt idx="8">
                  <c:v>461538461538462</c:v>
                </c:pt>
                <c:pt idx="9">
                  <c:v>444444444444444</c:v>
                </c:pt>
              </c:numCache>
            </c:numRef>
          </c:xVal>
          <c:yVal>
            <c:numRef>
              <c:f>Arkusz2!$N$6:$N$15</c:f>
              <c:numCache>
                <c:formatCode>General</c:formatCode>
                <c:ptCount val="10"/>
                <c:pt idx="0">
                  <c:v>1.162</c:v>
                </c:pt>
                <c:pt idx="1">
                  <c:v>1.014</c:v>
                </c:pt>
                <c:pt idx="2">
                  <c:v>0.844</c:v>
                </c:pt>
                <c:pt idx="3">
                  <c:v>0.656</c:v>
                </c:pt>
                <c:pt idx="4">
                  <c:v>0.43</c:v>
                </c:pt>
                <c:pt idx="5">
                  <c:v>0.348</c:v>
                </c:pt>
                <c:pt idx="6">
                  <c:v>0.242</c:v>
                </c:pt>
                <c:pt idx="7">
                  <c:v>0.146</c:v>
                </c:pt>
                <c:pt idx="8">
                  <c:v>0.12</c:v>
                </c:pt>
                <c:pt idx="9">
                  <c:v>0.068</c:v>
                </c:pt>
              </c:numCache>
            </c:numRef>
          </c:yVal>
          <c:smooth val="0"/>
        </c:ser>
        <c:axId val="63268566"/>
        <c:axId val="21037374"/>
      </c:scatterChart>
      <c:valAx>
        <c:axId val="63268566"/>
        <c:scaling>
          <c:orientation val="minMax"/>
          <c:min val="400000000000000"/>
        </c:scaling>
        <c:delete val="0"/>
        <c:axPos val="b"/>
        <c:majorGridlines>
          <c:spPr>
            <a:ln w="9360">
              <a:solidFill>
                <a:srgbClr val="e0e5e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900" spc="-1" strike="noStrike">
                    <a:solidFill>
                      <a:srgbClr val="44546a"/>
                    </a:solidFill>
                    <a:latin typeface="Calibri"/>
                  </a:defRPr>
                </a:pPr>
                <a:r>
                  <a:rPr b="1" sz="900" spc="-1" strike="noStrike">
                    <a:solidFill>
                      <a:srgbClr val="44546a"/>
                    </a:solidFill>
                    <a:latin typeface="Calibri"/>
                  </a:rPr>
                  <a:t>f [Hz]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0.0E+00" sourceLinked="0"/>
        <c:majorTickMark val="none"/>
        <c:minorTickMark val="none"/>
        <c:tickLblPos val="nextTo"/>
        <c:spPr>
          <a:ln w="9360">
            <a:solidFill>
              <a:srgbClr val="e0e5eb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4546a"/>
                </a:solidFill>
                <a:latin typeface="Calibri"/>
              </a:defRPr>
            </a:pPr>
          </a:p>
        </c:txPr>
        <c:crossAx val="21037374"/>
        <c:crosses val="autoZero"/>
        <c:crossBetween val="midCat"/>
        <c:majorUnit val="50000000000000"/>
      </c:valAx>
      <c:valAx>
        <c:axId val="21037374"/>
        <c:scaling>
          <c:orientation val="minMax"/>
        </c:scaling>
        <c:delete val="0"/>
        <c:axPos val="l"/>
        <c:majorGridlines>
          <c:spPr>
            <a:ln w="9360">
              <a:solidFill>
                <a:srgbClr val="e0e5e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00" spc="-1" strike="noStrike">
                    <a:solidFill>
                      <a:srgbClr val="44546a"/>
                    </a:solidFill>
                    <a:latin typeface="Calibri"/>
                  </a:defRPr>
                </a:pPr>
                <a:r>
                  <a:rPr b="1" sz="900" spc="-1" strike="noStrike">
                    <a:solidFill>
                      <a:srgbClr val="44546a"/>
                    </a:solidFill>
                    <a:latin typeface="Calibri"/>
                  </a:rPr>
                  <a:t>UH [V]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6480">
            <a:solidFill>
              <a:srgbClr val="adb9ca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4546a"/>
                </a:solidFill>
                <a:latin typeface="Calibri"/>
              </a:defRPr>
            </a:pPr>
          </a:p>
        </c:txPr>
        <c:crossAx val="63268566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e0e5eb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Relationship Id="rId3" Type="http://schemas.openxmlformats.org/officeDocument/2006/relationships/image" Target="../media/image12.png"/><Relationship Id="rId4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360</xdr:colOff>
      <xdr:row>4</xdr:row>
      <xdr:rowOff>0</xdr:rowOff>
    </xdr:from>
    <xdr:to>
      <xdr:col>13</xdr:col>
      <xdr:colOff>257040</xdr:colOff>
      <xdr:row>8</xdr:row>
      <xdr:rowOff>127440</xdr:rowOff>
    </xdr:to>
    <xdr:pic>
      <xdr:nvPicPr>
        <xdr:cNvPr id="0" name="Obraz 1" descr=""/>
        <xdr:cNvPicPr/>
      </xdr:nvPicPr>
      <xdr:blipFill>
        <a:blip r:embed="rId1"/>
        <a:stretch/>
      </xdr:blipFill>
      <xdr:spPr>
        <a:xfrm>
          <a:off x="7364160" y="706680"/>
          <a:ext cx="1590120" cy="828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360</xdr:colOff>
      <xdr:row>15</xdr:row>
      <xdr:rowOff>0</xdr:rowOff>
    </xdr:from>
    <xdr:to>
      <xdr:col>14</xdr:col>
      <xdr:colOff>28440</xdr:colOff>
      <xdr:row>19</xdr:row>
      <xdr:rowOff>70200</xdr:rowOff>
    </xdr:to>
    <xdr:pic>
      <xdr:nvPicPr>
        <xdr:cNvPr id="1" name="Obraz 2" descr=""/>
        <xdr:cNvPicPr/>
      </xdr:nvPicPr>
      <xdr:blipFill>
        <a:blip r:embed="rId2"/>
        <a:stretch/>
      </xdr:blipFill>
      <xdr:spPr>
        <a:xfrm>
          <a:off x="7364160" y="2634480"/>
          <a:ext cx="2028600" cy="7711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360</xdr:colOff>
      <xdr:row>10</xdr:row>
      <xdr:rowOff>0</xdr:rowOff>
    </xdr:from>
    <xdr:to>
      <xdr:col>16</xdr:col>
      <xdr:colOff>447120</xdr:colOff>
      <xdr:row>13</xdr:row>
      <xdr:rowOff>45360</xdr:rowOff>
    </xdr:to>
    <xdr:pic>
      <xdr:nvPicPr>
        <xdr:cNvPr id="2" name="Obraz 3" descr=""/>
        <xdr:cNvPicPr/>
      </xdr:nvPicPr>
      <xdr:blipFill>
        <a:blip r:embed="rId3"/>
        <a:stretch/>
      </xdr:blipFill>
      <xdr:spPr>
        <a:xfrm>
          <a:off x="7364160" y="1758240"/>
          <a:ext cx="3780720" cy="5709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8</xdr:col>
      <xdr:colOff>495720</xdr:colOff>
      <xdr:row>21</xdr:row>
      <xdr:rowOff>57240</xdr:rowOff>
    </xdr:from>
    <xdr:to>
      <xdr:col>17</xdr:col>
      <xdr:colOff>171360</xdr:colOff>
      <xdr:row>48</xdr:row>
      <xdr:rowOff>11160</xdr:rowOff>
    </xdr:to>
    <xdr:graphicFrame>
      <xdr:nvGraphicFramePr>
        <xdr:cNvPr id="3" name="Wykres 6"/>
        <xdr:cNvGraphicFramePr/>
      </xdr:nvGraphicFramePr>
      <xdr:xfrm>
        <a:off x="5859360" y="3743280"/>
        <a:ext cx="5676480" cy="477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333360</xdr:colOff>
      <xdr:row>33</xdr:row>
      <xdr:rowOff>9360</xdr:rowOff>
    </xdr:from>
    <xdr:to>
      <xdr:col>19</xdr:col>
      <xdr:colOff>900720</xdr:colOff>
      <xdr:row>49</xdr:row>
      <xdr:rowOff>142200</xdr:rowOff>
    </xdr:to>
    <xdr:graphicFrame>
      <xdr:nvGraphicFramePr>
        <xdr:cNvPr id="4" name="Wykres 1"/>
        <xdr:cNvGraphicFramePr/>
      </xdr:nvGraphicFramePr>
      <xdr:xfrm>
        <a:off x="2422800" y="5943240"/>
        <a:ext cx="1055340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399960</xdr:colOff>
      <xdr:row>18</xdr:row>
      <xdr:rowOff>47520</xdr:rowOff>
    </xdr:from>
    <xdr:to>
      <xdr:col>14</xdr:col>
      <xdr:colOff>35640</xdr:colOff>
      <xdr:row>33</xdr:row>
      <xdr:rowOff>75600</xdr:rowOff>
    </xdr:to>
    <xdr:graphicFrame>
      <xdr:nvGraphicFramePr>
        <xdr:cNvPr id="5" name="Wykres 3"/>
        <xdr:cNvGraphicFramePr/>
      </xdr:nvGraphicFramePr>
      <xdr:xfrm>
        <a:off x="4134240" y="3266640"/>
        <a:ext cx="457164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514440</xdr:colOff>
      <xdr:row>18</xdr:row>
      <xdr:rowOff>19080</xdr:rowOff>
    </xdr:from>
    <xdr:to>
      <xdr:col>7</xdr:col>
      <xdr:colOff>182160</xdr:colOff>
      <xdr:row>34</xdr:row>
      <xdr:rowOff>47160</xdr:rowOff>
    </xdr:to>
    <xdr:graphicFrame>
      <xdr:nvGraphicFramePr>
        <xdr:cNvPr id="6" name="Wykres 1"/>
        <xdr:cNvGraphicFramePr/>
      </xdr:nvGraphicFramePr>
      <xdr:xfrm>
        <a:off x="1336680" y="3276360"/>
        <a:ext cx="5714640" cy="297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T80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H21" activeCellId="0" sqref="H21"/>
    </sheetView>
  </sheetViews>
  <sheetFormatPr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1025" min="2" style="0" width="8.61"/>
  </cols>
  <sheetData>
    <row r="2" customFormat="false" ht="13.8" hidden="false" customHeight="false" outlineLevel="0" collapsed="false">
      <c r="B2" s="0" t="s">
        <v>0</v>
      </c>
      <c r="C2" s="0" t="s">
        <v>1</v>
      </c>
      <c r="D2" s="0" t="s">
        <v>2</v>
      </c>
      <c r="F2" s="0" t="s">
        <v>3</v>
      </c>
      <c r="G2" s="0" t="s">
        <v>4</v>
      </c>
    </row>
    <row r="3" customFormat="false" ht="13.8" hidden="false" customHeight="false" outlineLevel="0" collapsed="false">
      <c r="B3" s="0" t="n">
        <v>0</v>
      </c>
      <c r="C3" s="0" t="n">
        <v>67.4</v>
      </c>
      <c r="D3" s="0" t="n">
        <f aca="false">C3/1000</f>
        <v>0.0674</v>
      </c>
      <c r="F3" s="0" t="n">
        <f aca="false">D3/(140*0.01)</f>
        <v>0.0481428571428571</v>
      </c>
      <c r="G3" s="0" t="n">
        <f aca="false">600*B3</f>
        <v>0</v>
      </c>
    </row>
    <row r="4" customFormat="false" ht="13.8" hidden="false" customHeight="false" outlineLevel="0" collapsed="false">
      <c r="B4" s="0" t="n">
        <v>0.2</v>
      </c>
      <c r="C4" s="0" t="n">
        <v>70.9</v>
      </c>
      <c r="D4" s="0" t="n">
        <f aca="false">C4/1000</f>
        <v>0.0709</v>
      </c>
      <c r="F4" s="0" t="n">
        <f aca="false">D4/(140*0.01)</f>
        <v>0.0506428571428571</v>
      </c>
      <c r="G4" s="0" t="n">
        <f aca="false">600*B4</f>
        <v>120</v>
      </c>
      <c r="S4" s="0" t="s">
        <v>3</v>
      </c>
      <c r="T4" s="0" t="s">
        <v>4</v>
      </c>
    </row>
    <row r="5" customFormat="false" ht="13.8" hidden="false" customHeight="false" outlineLevel="0" collapsed="false">
      <c r="B5" s="0" t="n">
        <v>0.4</v>
      </c>
      <c r="C5" s="0" t="n">
        <v>75.1</v>
      </c>
      <c r="D5" s="0" t="n">
        <f aca="false">C5/1000</f>
        <v>0.0751</v>
      </c>
      <c r="F5" s="0" t="n">
        <f aca="false">D5/(140*0.01)</f>
        <v>0.0536428571428571</v>
      </c>
      <c r="G5" s="0" t="n">
        <f aca="false">600*B5</f>
        <v>240</v>
      </c>
      <c r="S5" s="0" t="n">
        <f aca="false">$D3/(140*0.01)</f>
        <v>0.0481428571428571</v>
      </c>
      <c r="T5" s="0" t="n">
        <f aca="false">600*$B3</f>
        <v>0</v>
      </c>
    </row>
    <row r="6" customFormat="false" ht="13.8" hidden="false" customHeight="false" outlineLevel="0" collapsed="false">
      <c r="B6" s="0" t="n">
        <v>0.6</v>
      </c>
      <c r="C6" s="0" t="n">
        <v>79.3</v>
      </c>
      <c r="D6" s="0" t="n">
        <f aca="false">C6/1000</f>
        <v>0.0793</v>
      </c>
      <c r="F6" s="0" t="n">
        <f aca="false">D6/(140*0.01)</f>
        <v>0.0566428571428571</v>
      </c>
      <c r="G6" s="0" t="n">
        <f aca="false">600*B6</f>
        <v>360</v>
      </c>
      <c r="S6" s="0" t="n">
        <f aca="false">$D4/(140*0.01)</f>
        <v>0.0506428571428571</v>
      </c>
      <c r="T6" s="0" t="n">
        <f aca="false">600*$B4</f>
        <v>120</v>
      </c>
    </row>
    <row r="7" customFormat="false" ht="13.8" hidden="false" customHeight="false" outlineLevel="0" collapsed="false">
      <c r="B7" s="0" t="n">
        <v>0.8</v>
      </c>
      <c r="C7" s="0" t="n">
        <v>84.6</v>
      </c>
      <c r="D7" s="0" t="n">
        <f aca="false">C7/1000</f>
        <v>0.0846</v>
      </c>
      <c r="F7" s="0" t="n">
        <f aca="false">D7/(140*0.01)</f>
        <v>0.0604285714285714</v>
      </c>
      <c r="G7" s="0" t="n">
        <f aca="false">600*B7</f>
        <v>480</v>
      </c>
      <c r="S7" s="0" t="n">
        <f aca="false">$D5/(140*0.01)</f>
        <v>0.0536428571428571</v>
      </c>
      <c r="T7" s="0" t="n">
        <f aca="false">600*$B5</f>
        <v>240</v>
      </c>
    </row>
    <row r="8" customFormat="false" ht="13.8" hidden="false" customHeight="false" outlineLevel="0" collapsed="false">
      <c r="B8" s="0" t="n">
        <v>1</v>
      </c>
      <c r="C8" s="0" t="n">
        <v>89.6</v>
      </c>
      <c r="D8" s="0" t="n">
        <f aca="false">C8/1000</f>
        <v>0.0896</v>
      </c>
      <c r="F8" s="0" t="n">
        <f aca="false">D8/(140*0.01)</f>
        <v>0.064</v>
      </c>
      <c r="G8" s="0" t="n">
        <f aca="false">600*B8</f>
        <v>600</v>
      </c>
      <c r="S8" s="0" t="n">
        <f aca="false">$D6/(140*0.01)</f>
        <v>0.0566428571428571</v>
      </c>
      <c r="T8" s="0" t="n">
        <f aca="false">600*$B6</f>
        <v>360</v>
      </c>
    </row>
    <row r="9" customFormat="false" ht="13.8" hidden="false" customHeight="false" outlineLevel="0" collapsed="false">
      <c r="B9" s="0" t="n">
        <v>1.2</v>
      </c>
      <c r="C9" s="0" t="n">
        <v>98.9</v>
      </c>
      <c r="D9" s="0" t="n">
        <f aca="false">C9/1000</f>
        <v>0.0989</v>
      </c>
      <c r="F9" s="0" t="n">
        <f aca="false">D9/(140*0.01)</f>
        <v>0.0706428571428571</v>
      </c>
      <c r="G9" s="0" t="n">
        <f aca="false">600*B9</f>
        <v>720</v>
      </c>
      <c r="S9" s="0" t="n">
        <f aca="false">$D7/(140*0.01)</f>
        <v>0.0604285714285714</v>
      </c>
      <c r="T9" s="0" t="n">
        <f aca="false">600*$B7</f>
        <v>480</v>
      </c>
    </row>
    <row r="10" customFormat="false" ht="13.8" hidden="false" customHeight="false" outlineLevel="0" collapsed="false">
      <c r="B10" s="0" t="n">
        <v>1.4</v>
      </c>
      <c r="C10" s="0" t="n">
        <v>102.9</v>
      </c>
      <c r="D10" s="0" t="n">
        <f aca="false">C10/1000</f>
        <v>0.1029</v>
      </c>
      <c r="F10" s="0" t="n">
        <f aca="false">D10/(140*0.01)</f>
        <v>0.0735</v>
      </c>
      <c r="G10" s="0" t="n">
        <f aca="false">600*B10</f>
        <v>840</v>
      </c>
      <c r="S10" s="0" t="n">
        <f aca="false">$D8/(140*0.01)</f>
        <v>0.064</v>
      </c>
      <c r="T10" s="0" t="n">
        <f aca="false">600*$B8</f>
        <v>600</v>
      </c>
    </row>
    <row r="11" customFormat="false" ht="13.8" hidden="false" customHeight="false" outlineLevel="0" collapsed="false">
      <c r="B11" s="0" t="n">
        <v>1.6</v>
      </c>
      <c r="C11" s="0" t="n">
        <v>109.2</v>
      </c>
      <c r="D11" s="0" t="n">
        <f aca="false">C11/1000</f>
        <v>0.1092</v>
      </c>
      <c r="F11" s="0" t="n">
        <f aca="false">D11/(140*0.01)</f>
        <v>0.078</v>
      </c>
      <c r="G11" s="0" t="n">
        <f aca="false">600*B11</f>
        <v>960</v>
      </c>
      <c r="S11" s="0" t="n">
        <f aca="false">$D9/(140*0.01)</f>
        <v>0.0706428571428571</v>
      </c>
      <c r="T11" s="0" t="n">
        <f aca="false">600*$B9</f>
        <v>720</v>
      </c>
    </row>
    <row r="12" customFormat="false" ht="13.8" hidden="false" customHeight="false" outlineLevel="0" collapsed="false">
      <c r="B12" s="0" t="n">
        <v>1.8</v>
      </c>
      <c r="C12" s="0" t="n">
        <v>116.3</v>
      </c>
      <c r="D12" s="0" t="n">
        <f aca="false">C12/1000</f>
        <v>0.1163</v>
      </c>
      <c r="F12" s="0" t="n">
        <f aca="false">D12/(140*0.01)</f>
        <v>0.0830714285714286</v>
      </c>
      <c r="G12" s="0" t="n">
        <f aca="false">600*B12</f>
        <v>1080</v>
      </c>
      <c r="S12" s="0" t="n">
        <f aca="false">$D10/(140*0.01)</f>
        <v>0.0735</v>
      </c>
      <c r="T12" s="0" t="n">
        <f aca="false">600*$B10</f>
        <v>840</v>
      </c>
    </row>
    <row r="13" customFormat="false" ht="13.8" hidden="false" customHeight="false" outlineLevel="0" collapsed="false">
      <c r="B13" s="0" t="n">
        <v>2</v>
      </c>
      <c r="C13" s="0" t="n">
        <v>123.9</v>
      </c>
      <c r="D13" s="0" t="n">
        <f aca="false">C13/1000</f>
        <v>0.1239</v>
      </c>
      <c r="F13" s="0" t="n">
        <f aca="false">D13/(140*0.01)</f>
        <v>0.0885</v>
      </c>
      <c r="G13" s="0" t="n">
        <f aca="false">600*B13</f>
        <v>1200</v>
      </c>
      <c r="S13" s="0" t="n">
        <f aca="false">$D11/(140*0.01)</f>
        <v>0.078</v>
      </c>
      <c r="T13" s="0" t="n">
        <f aca="false">600*$B11</f>
        <v>960</v>
      </c>
    </row>
    <row r="14" customFormat="false" ht="13.8" hidden="false" customHeight="false" outlineLevel="0" collapsed="false">
      <c r="B14" s="0" t="n">
        <v>2.2</v>
      </c>
      <c r="C14" s="0" t="n">
        <v>132.5</v>
      </c>
      <c r="D14" s="0" t="n">
        <f aca="false">C14/1000</f>
        <v>0.1325</v>
      </c>
      <c r="F14" s="0" t="n">
        <f aca="false">D14/(140*0.01)</f>
        <v>0.0946428571428571</v>
      </c>
      <c r="G14" s="0" t="n">
        <f aca="false">600*B14</f>
        <v>1320</v>
      </c>
      <c r="S14" s="0" t="n">
        <f aca="false">$D12/(140*0.01)</f>
        <v>0.0830714285714286</v>
      </c>
      <c r="T14" s="0" t="n">
        <f aca="false">600*$B12</f>
        <v>1080</v>
      </c>
    </row>
    <row r="15" customFormat="false" ht="13.8" hidden="false" customHeight="false" outlineLevel="0" collapsed="false">
      <c r="B15" s="0" t="n">
        <v>2.4</v>
      </c>
      <c r="C15" s="0" t="n">
        <v>139.5</v>
      </c>
      <c r="D15" s="0" t="n">
        <f aca="false">C15/1000</f>
        <v>0.1395</v>
      </c>
      <c r="F15" s="0" t="n">
        <f aca="false">D15/(140*0.01)</f>
        <v>0.0996428571428571</v>
      </c>
      <c r="G15" s="0" t="n">
        <f aca="false">600*B15</f>
        <v>1440</v>
      </c>
      <c r="S15" s="0" t="n">
        <f aca="false">$D13/(140*0.01)</f>
        <v>0.0885</v>
      </c>
      <c r="T15" s="0" t="n">
        <f aca="false">600*$B13</f>
        <v>1200</v>
      </c>
    </row>
    <row r="16" customFormat="false" ht="13.8" hidden="false" customHeight="false" outlineLevel="0" collapsed="false">
      <c r="B16" s="0" t="n">
        <v>2.6</v>
      </c>
      <c r="C16" s="0" t="n">
        <v>147</v>
      </c>
      <c r="D16" s="0" t="n">
        <f aca="false">C16/1000</f>
        <v>0.147</v>
      </c>
      <c r="F16" s="0" t="n">
        <f aca="false">D16/(140*0.01)</f>
        <v>0.105</v>
      </c>
      <c r="G16" s="0" t="n">
        <f aca="false">600*B16</f>
        <v>1560</v>
      </c>
      <c r="S16" s="0" t="n">
        <f aca="false">$D14/(140*0.01)</f>
        <v>0.0946428571428571</v>
      </c>
      <c r="T16" s="0" t="n">
        <f aca="false">600*$B14</f>
        <v>1320</v>
      </c>
    </row>
    <row r="17" customFormat="false" ht="13.8" hidden="false" customHeight="false" outlineLevel="0" collapsed="false">
      <c r="B17" s="0" t="n">
        <v>2.8</v>
      </c>
      <c r="C17" s="0" t="n">
        <v>156.5</v>
      </c>
      <c r="D17" s="0" t="n">
        <f aca="false">C17/1000</f>
        <v>0.1565</v>
      </c>
      <c r="F17" s="0" t="n">
        <f aca="false">D17/(140*0.01)</f>
        <v>0.111785714285714</v>
      </c>
      <c r="G17" s="0" t="n">
        <f aca="false">600*B17</f>
        <v>1680</v>
      </c>
      <c r="S17" s="0" t="n">
        <f aca="false">$D15/(140*0.01)</f>
        <v>0.0996428571428571</v>
      </c>
      <c r="T17" s="0" t="n">
        <f aca="false">600*$B15</f>
        <v>1440</v>
      </c>
    </row>
    <row r="18" customFormat="false" ht="13.8" hidden="false" customHeight="false" outlineLevel="0" collapsed="false">
      <c r="B18" s="0" t="n">
        <v>3</v>
      </c>
      <c r="C18" s="0" t="n">
        <v>164.7</v>
      </c>
      <c r="D18" s="0" t="n">
        <f aca="false">C18/1000</f>
        <v>0.1647</v>
      </c>
      <c r="F18" s="0" t="n">
        <f aca="false">D18/(140*0.01)</f>
        <v>0.117642857142857</v>
      </c>
      <c r="G18" s="0" t="n">
        <f aca="false">600*B18</f>
        <v>1800</v>
      </c>
      <c r="S18" s="0" t="n">
        <f aca="false">$D16/(140*0.01)</f>
        <v>0.105</v>
      </c>
      <c r="T18" s="0" t="n">
        <f aca="false">600*$B16</f>
        <v>1560</v>
      </c>
    </row>
    <row r="19" customFormat="false" ht="13.8" hidden="false" customHeight="false" outlineLevel="0" collapsed="false">
      <c r="B19" s="0" t="n">
        <v>2.8</v>
      </c>
      <c r="C19" s="0" t="n">
        <v>160.9</v>
      </c>
      <c r="D19" s="0" t="n">
        <f aca="false">C19/1000</f>
        <v>0.1609</v>
      </c>
      <c r="F19" s="0" t="n">
        <f aca="false">D19/(140*0.01)</f>
        <v>0.114928571428571</v>
      </c>
      <c r="G19" s="0" t="n">
        <f aca="false">600*B19</f>
        <v>1680</v>
      </c>
      <c r="S19" s="0" t="n">
        <f aca="false">$D17/(140*0.01)</f>
        <v>0.111785714285714</v>
      </c>
      <c r="T19" s="0" t="n">
        <f aca="false">600*$B17</f>
        <v>1680</v>
      </c>
    </row>
    <row r="20" customFormat="false" ht="13.8" hidden="false" customHeight="false" outlineLevel="0" collapsed="false">
      <c r="B20" s="0" t="n">
        <v>2.6</v>
      </c>
      <c r="C20" s="0" t="n">
        <v>157.3</v>
      </c>
      <c r="D20" s="0" t="n">
        <f aca="false">C20/1000</f>
        <v>0.1573</v>
      </c>
      <c r="F20" s="0" t="n">
        <f aca="false">D20/(140*0.01)</f>
        <v>0.112357142857143</v>
      </c>
      <c r="G20" s="0" t="n">
        <f aca="false">600*B20</f>
        <v>1560</v>
      </c>
      <c r="S20" s="0" t="n">
        <f aca="false">$D18/(140*0.01)</f>
        <v>0.117642857142857</v>
      </c>
      <c r="T20" s="0" t="n">
        <f aca="false">600*$B18</f>
        <v>1800</v>
      </c>
    </row>
    <row r="21" customFormat="false" ht="13.8" hidden="false" customHeight="false" outlineLevel="0" collapsed="false">
      <c r="B21" s="0" t="n">
        <v>2.4</v>
      </c>
      <c r="C21" s="0" t="n">
        <v>153.4</v>
      </c>
      <c r="D21" s="0" t="n">
        <f aca="false">C21/1000</f>
        <v>0.1534</v>
      </c>
      <c r="F21" s="0" t="n">
        <f aca="false">D21/(140*0.01)</f>
        <v>0.109571428571429</v>
      </c>
      <c r="G21" s="0" t="n">
        <f aca="false">600*B21</f>
        <v>1440</v>
      </c>
      <c r="S21" s="0" t="n">
        <f aca="false">$D19/(140*0.01)</f>
        <v>0.114928571428571</v>
      </c>
      <c r="T21" s="0" t="n">
        <f aca="false">600*$B19</f>
        <v>1680</v>
      </c>
    </row>
    <row r="22" customFormat="false" ht="13.8" hidden="false" customHeight="false" outlineLevel="0" collapsed="false">
      <c r="B22" s="0" t="n">
        <v>2.2</v>
      </c>
      <c r="C22" s="0" t="n">
        <v>149.2</v>
      </c>
      <c r="D22" s="0" t="n">
        <f aca="false">C22/1000</f>
        <v>0.1492</v>
      </c>
      <c r="F22" s="0" t="n">
        <f aca="false">D22/(140*0.01)</f>
        <v>0.106571428571429</v>
      </c>
      <c r="G22" s="0" t="n">
        <f aca="false">600*B22</f>
        <v>1320</v>
      </c>
      <c r="S22" s="0" t="n">
        <f aca="false">$D20/(140*0.01)</f>
        <v>0.112357142857143</v>
      </c>
      <c r="T22" s="0" t="n">
        <f aca="false">600*$B20</f>
        <v>1560</v>
      </c>
    </row>
    <row r="23" customFormat="false" ht="13.8" hidden="false" customHeight="false" outlineLevel="0" collapsed="false">
      <c r="B23" s="0" t="n">
        <v>2</v>
      </c>
      <c r="C23" s="0" t="n">
        <v>144.8</v>
      </c>
      <c r="D23" s="0" t="n">
        <f aca="false">C23/1000</f>
        <v>0.1448</v>
      </c>
      <c r="F23" s="0" t="n">
        <f aca="false">D23/(140*0.01)</f>
        <v>0.103428571428571</v>
      </c>
      <c r="G23" s="0" t="n">
        <f aca="false">600*B23</f>
        <v>1200</v>
      </c>
      <c r="S23" s="0" t="n">
        <f aca="false">$D21/(140*0.01)</f>
        <v>0.109571428571429</v>
      </c>
      <c r="T23" s="0" t="n">
        <f aca="false">600*$B21</f>
        <v>1440</v>
      </c>
    </row>
    <row r="24" customFormat="false" ht="13.8" hidden="false" customHeight="false" outlineLevel="0" collapsed="false">
      <c r="B24" s="0" t="n">
        <v>1.8</v>
      </c>
      <c r="C24" s="0" t="n">
        <v>139.8</v>
      </c>
      <c r="D24" s="0" t="n">
        <f aca="false">C24/1000</f>
        <v>0.1398</v>
      </c>
      <c r="F24" s="0" t="n">
        <f aca="false">D24/(140*0.01)</f>
        <v>0.0998571428571429</v>
      </c>
      <c r="G24" s="0" t="n">
        <f aca="false">600*B24</f>
        <v>1080</v>
      </c>
      <c r="S24" s="0" t="n">
        <f aca="false">$D22/(140*0.01)</f>
        <v>0.106571428571429</v>
      </c>
      <c r="T24" s="0" t="n">
        <f aca="false">600*$B22</f>
        <v>1320</v>
      </c>
    </row>
    <row r="25" customFormat="false" ht="13.8" hidden="false" customHeight="false" outlineLevel="0" collapsed="false">
      <c r="B25" s="0" t="n">
        <v>1.6</v>
      </c>
      <c r="C25" s="0" t="n">
        <v>135</v>
      </c>
      <c r="D25" s="0" t="n">
        <f aca="false">C25/1000</f>
        <v>0.135</v>
      </c>
      <c r="F25" s="0" t="n">
        <f aca="false">D25/(140*0.01)</f>
        <v>0.0964285714285714</v>
      </c>
      <c r="G25" s="0" t="n">
        <f aca="false">600*B25</f>
        <v>960</v>
      </c>
      <c r="S25" s="0" t="n">
        <f aca="false">$D23/(140*0.01)</f>
        <v>0.103428571428571</v>
      </c>
      <c r="T25" s="0" t="n">
        <f aca="false">600*$B23</f>
        <v>1200</v>
      </c>
    </row>
    <row r="26" customFormat="false" ht="13.8" hidden="false" customHeight="false" outlineLevel="0" collapsed="false">
      <c r="B26" s="0" t="n">
        <v>1.4</v>
      </c>
      <c r="C26" s="0" t="n">
        <v>129.6</v>
      </c>
      <c r="D26" s="0" t="n">
        <f aca="false">C26/1000</f>
        <v>0.1296</v>
      </c>
      <c r="F26" s="0" t="n">
        <f aca="false">D26/(140*0.01)</f>
        <v>0.0925714285714285</v>
      </c>
      <c r="G26" s="0" t="n">
        <f aca="false">600*B26</f>
        <v>840</v>
      </c>
      <c r="S26" s="0" t="n">
        <f aca="false">$D24/(140*0.01)</f>
        <v>0.0998571428571429</v>
      </c>
      <c r="T26" s="0" t="n">
        <f aca="false">600*$B24</f>
        <v>1080</v>
      </c>
    </row>
    <row r="27" customFormat="false" ht="13.8" hidden="false" customHeight="false" outlineLevel="0" collapsed="false">
      <c r="B27" s="0" t="n">
        <v>1.2</v>
      </c>
      <c r="C27" s="0" t="n">
        <v>123.4</v>
      </c>
      <c r="D27" s="0" t="n">
        <f aca="false">C27/1000</f>
        <v>0.1234</v>
      </c>
      <c r="F27" s="0" t="n">
        <f aca="false">D27/(140*0.01)</f>
        <v>0.0881428571428572</v>
      </c>
      <c r="G27" s="0" t="n">
        <f aca="false">600*B27</f>
        <v>720</v>
      </c>
      <c r="S27" s="0" t="n">
        <f aca="false">$D25/(140*0.01)</f>
        <v>0.0964285714285714</v>
      </c>
      <c r="T27" s="0" t="n">
        <f aca="false">600*$B25</f>
        <v>960</v>
      </c>
    </row>
    <row r="28" customFormat="false" ht="13.8" hidden="false" customHeight="false" outlineLevel="0" collapsed="false">
      <c r="B28" s="0" t="n">
        <v>1</v>
      </c>
      <c r="C28" s="0" t="n">
        <v>116</v>
      </c>
      <c r="D28" s="0" t="n">
        <f aca="false">C28/1000</f>
        <v>0.116</v>
      </c>
      <c r="F28" s="0" t="n">
        <f aca="false">D28/(140*0.01)</f>
        <v>0.0828571428571429</v>
      </c>
      <c r="G28" s="0" t="n">
        <f aca="false">600*B28</f>
        <v>600</v>
      </c>
      <c r="S28" s="0" t="n">
        <f aca="false">$D26/(140*0.01)</f>
        <v>0.0925714285714285</v>
      </c>
      <c r="T28" s="0" t="n">
        <f aca="false">600*$B26</f>
        <v>840</v>
      </c>
    </row>
    <row r="29" customFormat="false" ht="13.8" hidden="false" customHeight="false" outlineLevel="0" collapsed="false">
      <c r="B29" s="0" t="n">
        <v>0.8</v>
      </c>
      <c r="C29" s="0" t="n">
        <v>109.2</v>
      </c>
      <c r="D29" s="0" t="n">
        <f aca="false">C29/1000</f>
        <v>0.1092</v>
      </c>
      <c r="F29" s="0" t="n">
        <f aca="false">D29/(140*0.01)</f>
        <v>0.078</v>
      </c>
      <c r="G29" s="0" t="n">
        <f aca="false">600*B29</f>
        <v>480</v>
      </c>
      <c r="S29" s="0" t="n">
        <f aca="false">$D27/(140*0.01)</f>
        <v>0.0881428571428572</v>
      </c>
      <c r="T29" s="0" t="n">
        <f aca="false">600*$B27</f>
        <v>720</v>
      </c>
    </row>
    <row r="30" customFormat="false" ht="13.8" hidden="false" customHeight="false" outlineLevel="0" collapsed="false">
      <c r="B30" s="0" t="n">
        <v>0.6</v>
      </c>
      <c r="C30" s="0" t="n">
        <v>101.1</v>
      </c>
      <c r="D30" s="0" t="n">
        <f aca="false">C30/1000</f>
        <v>0.1011</v>
      </c>
      <c r="F30" s="0" t="n">
        <f aca="false">D30/(140*0.01)</f>
        <v>0.0722142857142857</v>
      </c>
      <c r="G30" s="0" t="n">
        <f aca="false">600*B30</f>
        <v>360</v>
      </c>
      <c r="S30" s="0" t="n">
        <f aca="false">$D28/(140*0.01)</f>
        <v>0.0828571428571429</v>
      </c>
      <c r="T30" s="0" t="n">
        <f aca="false">600*$B28</f>
        <v>600</v>
      </c>
    </row>
    <row r="31" customFormat="false" ht="13.8" hidden="false" customHeight="false" outlineLevel="0" collapsed="false">
      <c r="B31" s="0" t="n">
        <v>0.4</v>
      </c>
      <c r="C31" s="0" t="n">
        <v>92</v>
      </c>
      <c r="D31" s="0" t="n">
        <f aca="false">C31/1000</f>
        <v>0.092</v>
      </c>
      <c r="F31" s="0" t="n">
        <f aca="false">D31/(140*0.01)</f>
        <v>0.0657142857142857</v>
      </c>
      <c r="G31" s="0" t="n">
        <f aca="false">600*B31</f>
        <v>240</v>
      </c>
      <c r="S31" s="0" t="n">
        <f aca="false">$D29/(140*0.01)</f>
        <v>0.078</v>
      </c>
      <c r="T31" s="0" t="n">
        <f aca="false">600*$B29</f>
        <v>480</v>
      </c>
    </row>
    <row r="32" customFormat="false" ht="13.8" hidden="false" customHeight="false" outlineLevel="0" collapsed="false">
      <c r="B32" s="0" t="n">
        <v>0.2</v>
      </c>
      <c r="C32" s="0" t="n">
        <v>80.8</v>
      </c>
      <c r="D32" s="0" t="n">
        <f aca="false">C32/1000</f>
        <v>0.0808</v>
      </c>
      <c r="F32" s="0" t="n">
        <f aca="false">D32/(140*0.01)</f>
        <v>0.0577142857142857</v>
      </c>
      <c r="G32" s="0" t="n">
        <f aca="false">600*B32</f>
        <v>120</v>
      </c>
      <c r="S32" s="0" t="n">
        <f aca="false">$D30/(140*0.01)</f>
        <v>0.0722142857142857</v>
      </c>
      <c r="T32" s="0" t="n">
        <f aca="false">600*$B30</f>
        <v>360</v>
      </c>
    </row>
    <row r="33" customFormat="false" ht="13.8" hidden="false" customHeight="false" outlineLevel="0" collapsed="false">
      <c r="B33" s="0" t="n">
        <v>0</v>
      </c>
      <c r="C33" s="0" t="n">
        <v>69.6</v>
      </c>
      <c r="D33" s="0" t="n">
        <f aca="false">C33/1000</f>
        <v>0.0696</v>
      </c>
      <c r="E33" s="0" t="s">
        <v>5</v>
      </c>
      <c r="F33" s="0" t="n">
        <f aca="false">D33/(140*0.01)</f>
        <v>0.0497142857142857</v>
      </c>
      <c r="G33" s="0" t="n">
        <f aca="false">600*B33</f>
        <v>0</v>
      </c>
      <c r="S33" s="0" t="n">
        <f aca="false">$D31/(140*0.01)</f>
        <v>0.0657142857142857</v>
      </c>
      <c r="T33" s="0" t="n">
        <f aca="false">600*$B31</f>
        <v>240</v>
      </c>
    </row>
    <row r="34" customFormat="false" ht="14.25" hidden="false" customHeight="false" outlineLevel="0" collapsed="false">
      <c r="A34" s="0" t="n">
        <f aca="false">B34*-1</f>
        <v>-0.2</v>
      </c>
      <c r="B34" s="0" t="n">
        <v>0.2</v>
      </c>
      <c r="C34" s="0" t="n">
        <v>53.3</v>
      </c>
      <c r="D34" s="0" t="n">
        <f aca="false">C34/1000</f>
        <v>0.0533</v>
      </c>
      <c r="F34" s="0" t="n">
        <f aca="false">D34/(140*0.01)</f>
        <v>0.0380714285714286</v>
      </c>
      <c r="G34" s="0" t="n">
        <f aca="false">600*A34</f>
        <v>-120</v>
      </c>
      <c r="S34" s="0" t="n">
        <f aca="false">$D32/(140*0.01)</f>
        <v>0.0577142857142857</v>
      </c>
      <c r="T34" s="0" t="n">
        <f aca="false">600*$B32</f>
        <v>120</v>
      </c>
    </row>
    <row r="35" customFormat="false" ht="14.25" hidden="false" customHeight="false" outlineLevel="0" collapsed="false">
      <c r="A35" s="0" t="n">
        <f aca="false">B35*-1</f>
        <v>-0.4</v>
      </c>
      <c r="B35" s="0" t="n">
        <v>0.4</v>
      </c>
      <c r="C35" s="0" t="n">
        <v>34.7</v>
      </c>
      <c r="D35" s="0" t="n">
        <f aca="false">C35/1000</f>
        <v>0.0347</v>
      </c>
      <c r="F35" s="0" t="n">
        <f aca="false">D35/(140*0.01)</f>
        <v>0.0247857142857143</v>
      </c>
      <c r="G35" s="0" t="n">
        <f aca="false">600*A35</f>
        <v>-240</v>
      </c>
      <c r="S35" s="0" t="n">
        <f aca="false">$D33/(140*0.01)</f>
        <v>0.0497142857142857</v>
      </c>
      <c r="T35" s="0" t="n">
        <f aca="false">600*$B33</f>
        <v>0</v>
      </c>
    </row>
    <row r="36" customFormat="false" ht="14.25" hidden="false" customHeight="false" outlineLevel="0" collapsed="false">
      <c r="A36" s="0" t="n">
        <f aca="false">B36*-1</f>
        <v>-0.6</v>
      </c>
      <c r="B36" s="0" t="n">
        <v>0.6</v>
      </c>
      <c r="C36" s="0" t="n">
        <v>14.3</v>
      </c>
      <c r="D36" s="0" t="n">
        <f aca="false">C36/1000</f>
        <v>0.0143</v>
      </c>
      <c r="F36" s="0" t="n">
        <f aca="false">D36/(140*0.01)</f>
        <v>0.0102142857142857</v>
      </c>
      <c r="G36" s="0" t="n">
        <f aca="false">600*A36</f>
        <v>-360</v>
      </c>
      <c r="S36" s="0" t="n">
        <f aca="false">$D34/(140*0.01)</f>
        <v>0.0380714285714286</v>
      </c>
      <c r="T36" s="0" t="n">
        <f aca="false">600*$B34*-1</f>
        <v>-120</v>
      </c>
    </row>
    <row r="37" customFormat="false" ht="14.25" hidden="false" customHeight="false" outlineLevel="0" collapsed="false">
      <c r="A37" s="0" t="n">
        <f aca="false">B37*-1</f>
        <v>-0.8</v>
      </c>
      <c r="B37" s="0" t="n">
        <v>0.8</v>
      </c>
      <c r="C37" s="0" t="n">
        <v>-2.5</v>
      </c>
      <c r="D37" s="0" t="n">
        <f aca="false">C37/1000</f>
        <v>-0.0025</v>
      </c>
      <c r="F37" s="0" t="n">
        <f aca="false">D37/(140*0.01)</f>
        <v>-0.00178571428571429</v>
      </c>
      <c r="G37" s="0" t="n">
        <f aca="false">600*A37</f>
        <v>-480</v>
      </c>
      <c r="S37" s="0" t="n">
        <f aca="false">$D35/(140*0.01)</f>
        <v>0.0247857142857143</v>
      </c>
      <c r="T37" s="0" t="n">
        <f aca="false">600*$B35*-1</f>
        <v>-240</v>
      </c>
    </row>
    <row r="38" customFormat="false" ht="14.25" hidden="false" customHeight="false" outlineLevel="0" collapsed="false">
      <c r="A38" s="0" t="n">
        <f aca="false">B38*-1</f>
        <v>-1</v>
      </c>
      <c r="B38" s="0" t="n">
        <v>1</v>
      </c>
      <c r="C38" s="0" t="n">
        <v>-18</v>
      </c>
      <c r="D38" s="0" t="n">
        <f aca="false">C38/1000</f>
        <v>-0.018</v>
      </c>
      <c r="F38" s="0" t="n">
        <f aca="false">D38/(140*0.01)</f>
        <v>-0.0128571428571429</v>
      </c>
      <c r="G38" s="0" t="n">
        <f aca="false">600*A38</f>
        <v>-600</v>
      </c>
      <c r="S38" s="0" t="n">
        <f aca="false">$D36/(140*0.01)</f>
        <v>0.0102142857142857</v>
      </c>
      <c r="T38" s="0" t="n">
        <f aca="false">600*$B36*-1</f>
        <v>-360</v>
      </c>
    </row>
    <row r="39" customFormat="false" ht="14.25" hidden="false" customHeight="false" outlineLevel="0" collapsed="false">
      <c r="A39" s="0" t="n">
        <f aca="false">B39*-1</f>
        <v>-1.2</v>
      </c>
      <c r="B39" s="0" t="n">
        <v>1.2</v>
      </c>
      <c r="C39" s="0" t="n">
        <v>-34.5</v>
      </c>
      <c r="D39" s="0" t="n">
        <f aca="false">C39/1000</f>
        <v>-0.0345</v>
      </c>
      <c r="F39" s="0" t="n">
        <f aca="false">D39/(140*0.01)</f>
        <v>-0.0246428571428571</v>
      </c>
      <c r="G39" s="0" t="n">
        <f aca="false">600*A39</f>
        <v>-720</v>
      </c>
      <c r="S39" s="0" t="n">
        <f aca="false">$D37/(140*0.01)</f>
        <v>-0.00178571428571429</v>
      </c>
      <c r="T39" s="0" t="n">
        <f aca="false">600*$B37*-1</f>
        <v>-480</v>
      </c>
    </row>
    <row r="40" customFormat="false" ht="14.25" hidden="false" customHeight="false" outlineLevel="0" collapsed="false">
      <c r="A40" s="0" t="n">
        <f aca="false">B40*-1</f>
        <v>-1.4</v>
      </c>
      <c r="B40" s="0" t="n">
        <v>1.4</v>
      </c>
      <c r="C40" s="0" t="n">
        <v>-51.7</v>
      </c>
      <c r="D40" s="0" t="n">
        <f aca="false">C40/1000</f>
        <v>-0.0517</v>
      </c>
      <c r="F40" s="0" t="n">
        <f aca="false">D40/(140*0.01)</f>
        <v>-0.0369285714285714</v>
      </c>
      <c r="G40" s="0" t="n">
        <f aca="false">600*A40</f>
        <v>-840</v>
      </c>
      <c r="S40" s="0" t="n">
        <f aca="false">$D38/(140*0.01)</f>
        <v>-0.0128571428571429</v>
      </c>
      <c r="T40" s="0" t="n">
        <f aca="false">600*$B38*-1</f>
        <v>-600</v>
      </c>
    </row>
    <row r="41" customFormat="false" ht="14.25" hidden="false" customHeight="false" outlineLevel="0" collapsed="false">
      <c r="A41" s="0" t="n">
        <f aca="false">B41*-1</f>
        <v>-1.6</v>
      </c>
      <c r="B41" s="0" t="n">
        <v>1.6</v>
      </c>
      <c r="C41" s="0" t="n">
        <v>-73.1</v>
      </c>
      <c r="D41" s="0" t="n">
        <f aca="false">C41/1000</f>
        <v>-0.0731</v>
      </c>
      <c r="F41" s="0" t="n">
        <f aca="false">D41/(140*0.01)</f>
        <v>-0.0522142857142857</v>
      </c>
      <c r="G41" s="0" t="n">
        <f aca="false">600*A41</f>
        <v>-960</v>
      </c>
      <c r="S41" s="0" t="n">
        <f aca="false">$D39/(140*0.01)</f>
        <v>-0.0246428571428571</v>
      </c>
      <c r="T41" s="0" t="n">
        <f aca="false">600*$B39*-1</f>
        <v>-720</v>
      </c>
    </row>
    <row r="42" customFormat="false" ht="14.25" hidden="false" customHeight="false" outlineLevel="0" collapsed="false">
      <c r="A42" s="0" t="n">
        <f aca="false">B42*-1</f>
        <v>-1.8</v>
      </c>
      <c r="B42" s="0" t="n">
        <v>1.8</v>
      </c>
      <c r="C42" s="0" t="n">
        <v>-87.4</v>
      </c>
      <c r="D42" s="0" t="n">
        <f aca="false">C42/1000</f>
        <v>-0.0874</v>
      </c>
      <c r="F42" s="0" t="n">
        <f aca="false">D42/(140*0.01)</f>
        <v>-0.0624285714285714</v>
      </c>
      <c r="G42" s="0" t="n">
        <f aca="false">600*A42</f>
        <v>-1080</v>
      </c>
      <c r="S42" s="0" t="n">
        <f aca="false">$D40/(140*0.01)</f>
        <v>-0.0369285714285714</v>
      </c>
      <c r="T42" s="0" t="n">
        <f aca="false">600*$B40*-1</f>
        <v>-840</v>
      </c>
    </row>
    <row r="43" customFormat="false" ht="14.25" hidden="false" customHeight="false" outlineLevel="0" collapsed="false">
      <c r="A43" s="0" t="n">
        <f aca="false">B43*-1</f>
        <v>-2</v>
      </c>
      <c r="B43" s="0" t="n">
        <v>2</v>
      </c>
      <c r="C43" s="0" t="n">
        <v>-104.7</v>
      </c>
      <c r="D43" s="0" t="n">
        <f aca="false">C43/1000</f>
        <v>-0.1047</v>
      </c>
      <c r="F43" s="0" t="n">
        <f aca="false">D43/(140*0.01)</f>
        <v>-0.0747857142857143</v>
      </c>
      <c r="G43" s="0" t="n">
        <f aca="false">600*A43</f>
        <v>-1200</v>
      </c>
      <c r="S43" s="0" t="n">
        <f aca="false">$D41/(140*0.01)</f>
        <v>-0.0522142857142857</v>
      </c>
      <c r="T43" s="0" t="n">
        <f aca="false">600*$B41*-1</f>
        <v>-960</v>
      </c>
    </row>
    <row r="44" customFormat="false" ht="14.25" hidden="false" customHeight="false" outlineLevel="0" collapsed="false">
      <c r="A44" s="0" t="n">
        <f aca="false">B44*-1</f>
        <v>-2.2</v>
      </c>
      <c r="B44" s="0" t="n">
        <v>2.2</v>
      </c>
      <c r="C44" s="0" t="n">
        <v>-124.2</v>
      </c>
      <c r="D44" s="0" t="n">
        <f aca="false">C44/1000</f>
        <v>-0.1242</v>
      </c>
      <c r="F44" s="0" t="n">
        <f aca="false">D44/(140*0.01)</f>
        <v>-0.0887142857142857</v>
      </c>
      <c r="G44" s="0" t="n">
        <f aca="false">600*A44</f>
        <v>-1320</v>
      </c>
      <c r="S44" s="0" t="n">
        <f aca="false">$D42/(140*0.01)</f>
        <v>-0.0624285714285714</v>
      </c>
      <c r="T44" s="0" t="n">
        <f aca="false">600*$B42*-1</f>
        <v>-1080</v>
      </c>
    </row>
    <row r="45" customFormat="false" ht="14.25" hidden="false" customHeight="false" outlineLevel="0" collapsed="false">
      <c r="A45" s="0" t="n">
        <f aca="false">B45*-1</f>
        <v>-2.4</v>
      </c>
      <c r="B45" s="0" t="n">
        <v>2.4</v>
      </c>
      <c r="C45" s="0" t="n">
        <v>-135.2</v>
      </c>
      <c r="D45" s="0" t="n">
        <f aca="false">C45/1000</f>
        <v>-0.1352</v>
      </c>
      <c r="F45" s="0" t="n">
        <f aca="false">D45/(140*0.01)</f>
        <v>-0.0965714285714286</v>
      </c>
      <c r="G45" s="0" t="n">
        <f aca="false">600*A45</f>
        <v>-1440</v>
      </c>
      <c r="S45" s="0" t="n">
        <f aca="false">$D43/(140*0.01)</f>
        <v>-0.0747857142857143</v>
      </c>
      <c r="T45" s="0" t="n">
        <f aca="false">600*$B43*-1</f>
        <v>-1200</v>
      </c>
    </row>
    <row r="46" customFormat="false" ht="14.25" hidden="false" customHeight="false" outlineLevel="0" collapsed="false">
      <c r="A46" s="0" t="n">
        <f aca="false">B46*-1</f>
        <v>-2.6</v>
      </c>
      <c r="B46" s="0" t="n">
        <v>2.6</v>
      </c>
      <c r="C46" s="0" t="n">
        <v>-148.7</v>
      </c>
      <c r="D46" s="0" t="n">
        <f aca="false">C46/1000</f>
        <v>-0.1487</v>
      </c>
      <c r="F46" s="0" t="n">
        <f aca="false">D46/(140*0.01)</f>
        <v>-0.106214285714286</v>
      </c>
      <c r="G46" s="0" t="n">
        <f aca="false">600*A46</f>
        <v>-1560</v>
      </c>
      <c r="S46" s="0" t="n">
        <f aca="false">$D44/(140*0.01)</f>
        <v>-0.0887142857142857</v>
      </c>
      <c r="T46" s="0" t="n">
        <f aca="false">600*$B44*-1</f>
        <v>-1320</v>
      </c>
    </row>
    <row r="47" customFormat="false" ht="14.25" hidden="false" customHeight="false" outlineLevel="0" collapsed="false">
      <c r="A47" s="0" t="n">
        <f aca="false">B47*-1</f>
        <v>-2.8</v>
      </c>
      <c r="B47" s="0" t="n">
        <v>2.8</v>
      </c>
      <c r="C47" s="0" t="n">
        <v>-166.5</v>
      </c>
      <c r="D47" s="0" t="n">
        <f aca="false">C47/1000</f>
        <v>-0.1665</v>
      </c>
      <c r="F47" s="0" t="n">
        <f aca="false">D47/(140*0.01)</f>
        <v>-0.118928571428571</v>
      </c>
      <c r="G47" s="0" t="n">
        <f aca="false">600*A47</f>
        <v>-1680</v>
      </c>
      <c r="S47" s="0" t="n">
        <f aca="false">$D45/(140*0.01)</f>
        <v>-0.0965714285714286</v>
      </c>
      <c r="T47" s="0" t="n">
        <f aca="false">600*$B45*-1</f>
        <v>-1440</v>
      </c>
    </row>
    <row r="48" customFormat="false" ht="14.25" hidden="false" customHeight="false" outlineLevel="0" collapsed="false">
      <c r="A48" s="0" t="n">
        <f aca="false">B48*-1</f>
        <v>-3</v>
      </c>
      <c r="B48" s="0" t="n">
        <v>3</v>
      </c>
      <c r="C48" s="0" t="n">
        <v>-176</v>
      </c>
      <c r="D48" s="0" t="n">
        <f aca="false">C48/1000</f>
        <v>-0.176</v>
      </c>
      <c r="F48" s="0" t="n">
        <f aca="false">D48/(140*0.01)</f>
        <v>-0.125714285714286</v>
      </c>
      <c r="G48" s="0" t="n">
        <f aca="false">600*A48</f>
        <v>-1800</v>
      </c>
      <c r="S48" s="0" t="n">
        <f aca="false">$D46/(140*0.01)</f>
        <v>-0.106214285714286</v>
      </c>
      <c r="T48" s="0" t="n">
        <f aca="false">600*$B46*-1</f>
        <v>-1560</v>
      </c>
    </row>
    <row r="49" customFormat="false" ht="14.25" hidden="false" customHeight="false" outlineLevel="0" collapsed="false">
      <c r="A49" s="0" t="n">
        <f aca="false">B49*-1</f>
        <v>-2.8</v>
      </c>
      <c r="B49" s="0" t="n">
        <v>2.8</v>
      </c>
      <c r="C49" s="0" t="n">
        <v>-172.2</v>
      </c>
      <c r="D49" s="0" t="n">
        <f aca="false">C49/1000</f>
        <v>-0.1722</v>
      </c>
      <c r="F49" s="0" t="n">
        <f aca="false">D49/(140*0.01)</f>
        <v>-0.123</v>
      </c>
      <c r="G49" s="0" t="n">
        <f aca="false">600*A49</f>
        <v>-1680</v>
      </c>
      <c r="S49" s="0" t="n">
        <f aca="false">$D47/(140*0.01)</f>
        <v>-0.118928571428571</v>
      </c>
      <c r="T49" s="0" t="n">
        <f aca="false">600*$B47*-1</f>
        <v>-1680</v>
      </c>
    </row>
    <row r="50" customFormat="false" ht="14.25" hidden="false" customHeight="false" outlineLevel="0" collapsed="false">
      <c r="A50" s="0" t="n">
        <f aca="false">B50*-1</f>
        <v>-2.6</v>
      </c>
      <c r="B50" s="0" t="n">
        <v>2.6</v>
      </c>
      <c r="C50" s="0" t="n">
        <v>-168.6</v>
      </c>
      <c r="D50" s="0" t="n">
        <f aca="false">C50/1000</f>
        <v>-0.1686</v>
      </c>
      <c r="F50" s="0" t="n">
        <f aca="false">D50/(140*0.01)</f>
        <v>-0.120428571428571</v>
      </c>
      <c r="G50" s="0" t="n">
        <f aca="false">600*A50</f>
        <v>-1560</v>
      </c>
      <c r="S50" s="0" t="n">
        <f aca="false">$D48/(140*0.01)</f>
        <v>-0.125714285714286</v>
      </c>
      <c r="T50" s="0" t="n">
        <f aca="false">600*$B48*-1</f>
        <v>-1800</v>
      </c>
    </row>
    <row r="51" customFormat="false" ht="14.25" hidden="false" customHeight="false" outlineLevel="0" collapsed="false">
      <c r="A51" s="0" t="n">
        <f aca="false">B51*-1</f>
        <v>-2.4</v>
      </c>
      <c r="B51" s="0" t="n">
        <v>2.4</v>
      </c>
      <c r="C51" s="0" t="n">
        <v>-164.6</v>
      </c>
      <c r="D51" s="0" t="n">
        <f aca="false">C51/1000</f>
        <v>-0.1646</v>
      </c>
      <c r="F51" s="0" t="n">
        <f aca="false">D51/(140*0.01)</f>
        <v>-0.117571428571429</v>
      </c>
      <c r="G51" s="0" t="n">
        <f aca="false">600*A51</f>
        <v>-1440</v>
      </c>
      <c r="S51" s="0" t="n">
        <f aca="false">$D49/(140*0.01)</f>
        <v>-0.123</v>
      </c>
      <c r="T51" s="0" t="n">
        <f aca="false">600*$B49*-1</f>
        <v>-1680</v>
      </c>
    </row>
    <row r="52" customFormat="false" ht="14.25" hidden="false" customHeight="false" outlineLevel="0" collapsed="false">
      <c r="A52" s="0" t="n">
        <f aca="false">B52*-1</f>
        <v>-2.2</v>
      </c>
      <c r="B52" s="0" t="n">
        <v>2.2</v>
      </c>
      <c r="C52" s="0" t="n">
        <v>-160.6</v>
      </c>
      <c r="D52" s="0" t="n">
        <f aca="false">C52/1000</f>
        <v>-0.1606</v>
      </c>
      <c r="F52" s="0" t="n">
        <f aca="false">D52/(140*0.01)</f>
        <v>-0.114714285714286</v>
      </c>
      <c r="G52" s="0" t="n">
        <f aca="false">600*A52</f>
        <v>-1320</v>
      </c>
      <c r="S52" s="0" t="n">
        <f aca="false">$D50/(140*0.01)</f>
        <v>-0.120428571428571</v>
      </c>
      <c r="T52" s="0" t="n">
        <f aca="false">600*$B50*-1</f>
        <v>-1560</v>
      </c>
    </row>
    <row r="53" customFormat="false" ht="14.25" hidden="false" customHeight="false" outlineLevel="0" collapsed="false">
      <c r="A53" s="0" t="n">
        <f aca="false">B53*-1</f>
        <v>-2</v>
      </c>
      <c r="B53" s="0" t="n">
        <v>2</v>
      </c>
      <c r="C53" s="0" t="n">
        <v>-156.1</v>
      </c>
      <c r="D53" s="0" t="n">
        <f aca="false">C53/1000</f>
        <v>-0.1561</v>
      </c>
      <c r="F53" s="0" t="n">
        <f aca="false">D53/(140*0.01)</f>
        <v>-0.1115</v>
      </c>
      <c r="G53" s="0" t="n">
        <f aca="false">600*A53</f>
        <v>-1200</v>
      </c>
      <c r="S53" s="0" t="n">
        <f aca="false">$D51/(140*0.01)</f>
        <v>-0.117571428571429</v>
      </c>
      <c r="T53" s="0" t="n">
        <f aca="false">600*$B51*-1</f>
        <v>-1440</v>
      </c>
    </row>
    <row r="54" customFormat="false" ht="14.25" hidden="false" customHeight="false" outlineLevel="0" collapsed="false">
      <c r="A54" s="0" t="n">
        <f aca="false">B54*-1</f>
        <v>-1.8</v>
      </c>
      <c r="B54" s="0" t="n">
        <v>1.8</v>
      </c>
      <c r="C54" s="0" t="n">
        <v>-151.3</v>
      </c>
      <c r="D54" s="0" t="n">
        <f aca="false">C54/1000</f>
        <v>-0.1513</v>
      </c>
      <c r="F54" s="0" t="n">
        <f aca="false">D54/(140*0.01)</f>
        <v>-0.108071428571429</v>
      </c>
      <c r="G54" s="0" t="n">
        <f aca="false">600*A54</f>
        <v>-1080</v>
      </c>
      <c r="S54" s="0" t="n">
        <f aca="false">$D52/(140*0.01)</f>
        <v>-0.114714285714286</v>
      </c>
      <c r="T54" s="0" t="n">
        <f aca="false">600*$B52*-1</f>
        <v>-1320</v>
      </c>
    </row>
    <row r="55" customFormat="false" ht="14.25" hidden="false" customHeight="false" outlineLevel="0" collapsed="false">
      <c r="A55" s="0" t="n">
        <f aca="false">B55*-1</f>
        <v>-1.6</v>
      </c>
      <c r="B55" s="0" t="n">
        <v>1.6</v>
      </c>
      <c r="C55" s="0" t="n">
        <v>-146.1</v>
      </c>
      <c r="D55" s="0" t="n">
        <f aca="false">C55/1000</f>
        <v>-0.1461</v>
      </c>
      <c r="F55" s="0" t="n">
        <f aca="false">D55/(140*0.01)</f>
        <v>-0.104357142857143</v>
      </c>
      <c r="G55" s="0" t="n">
        <f aca="false">600*A55</f>
        <v>-960</v>
      </c>
      <c r="S55" s="0" t="n">
        <f aca="false">$D53/(140*0.01)</f>
        <v>-0.1115</v>
      </c>
      <c r="T55" s="0" t="n">
        <f aca="false">600*$B53*-1</f>
        <v>-1200</v>
      </c>
    </row>
    <row r="56" customFormat="false" ht="14.25" hidden="false" customHeight="false" outlineLevel="0" collapsed="false">
      <c r="A56" s="0" t="n">
        <f aca="false">B56*-1</f>
        <v>-1.4</v>
      </c>
      <c r="B56" s="0" t="n">
        <v>1.4</v>
      </c>
      <c r="C56" s="0" t="n">
        <v>-140.1</v>
      </c>
      <c r="D56" s="0" t="n">
        <f aca="false">C56/1000</f>
        <v>-0.1401</v>
      </c>
      <c r="F56" s="0" t="n">
        <f aca="false">D56/(140*0.01)</f>
        <v>-0.100071428571429</v>
      </c>
      <c r="G56" s="0" t="n">
        <f aca="false">600*A56</f>
        <v>-840</v>
      </c>
      <c r="S56" s="0" t="n">
        <f aca="false">$D54/(140*0.01)</f>
        <v>-0.108071428571429</v>
      </c>
      <c r="T56" s="0" t="n">
        <f aca="false">600*$B54*-1</f>
        <v>-1080</v>
      </c>
    </row>
    <row r="57" customFormat="false" ht="14.25" hidden="false" customHeight="false" outlineLevel="0" collapsed="false">
      <c r="A57" s="0" t="n">
        <f aca="false">B57*-1</f>
        <v>-1.2</v>
      </c>
      <c r="B57" s="0" t="n">
        <v>1.2</v>
      </c>
      <c r="C57" s="0" t="n">
        <v>-133.9</v>
      </c>
      <c r="D57" s="0" t="n">
        <f aca="false">C57/1000</f>
        <v>-0.1339</v>
      </c>
      <c r="F57" s="0" t="n">
        <f aca="false">D57/(140*0.01)</f>
        <v>-0.0956428571428571</v>
      </c>
      <c r="G57" s="0" t="n">
        <f aca="false">600*A57</f>
        <v>-720</v>
      </c>
      <c r="S57" s="0" t="n">
        <f aca="false">$D55/(140*0.01)</f>
        <v>-0.104357142857143</v>
      </c>
      <c r="T57" s="0" t="n">
        <f aca="false">600*$B55*-1</f>
        <v>-960</v>
      </c>
    </row>
    <row r="58" customFormat="false" ht="14.25" hidden="false" customHeight="false" outlineLevel="0" collapsed="false">
      <c r="A58" s="0" t="n">
        <f aca="false">B58*-1</f>
        <v>-1</v>
      </c>
      <c r="B58" s="0" t="n">
        <v>1</v>
      </c>
      <c r="C58" s="0" t="n">
        <v>-126.7</v>
      </c>
      <c r="D58" s="0" t="n">
        <f aca="false">C58/1000</f>
        <v>-0.1267</v>
      </c>
      <c r="F58" s="0" t="n">
        <f aca="false">D58/(140*0.01)</f>
        <v>-0.0905</v>
      </c>
      <c r="G58" s="0" t="n">
        <f aca="false">600*A58</f>
        <v>-600</v>
      </c>
      <c r="S58" s="0" t="n">
        <f aca="false">$D56/(140*0.01)</f>
        <v>-0.100071428571429</v>
      </c>
      <c r="T58" s="0" t="n">
        <f aca="false">600*$B56*-1</f>
        <v>-840</v>
      </c>
    </row>
    <row r="59" customFormat="false" ht="14.25" hidden="false" customHeight="false" outlineLevel="0" collapsed="false">
      <c r="A59" s="0" t="n">
        <f aca="false">B59*-1</f>
        <v>-0.8</v>
      </c>
      <c r="B59" s="0" t="n">
        <v>0.8</v>
      </c>
      <c r="C59" s="0" t="n">
        <v>-119</v>
      </c>
      <c r="D59" s="0" t="n">
        <f aca="false">C59/1000</f>
        <v>-0.119</v>
      </c>
      <c r="F59" s="0" t="n">
        <f aca="false">D59/(140*0.01)</f>
        <v>-0.085</v>
      </c>
      <c r="G59" s="0" t="n">
        <f aca="false">600*A59</f>
        <v>-480</v>
      </c>
      <c r="S59" s="0" t="n">
        <f aca="false">$D57/(140*0.01)</f>
        <v>-0.0956428571428571</v>
      </c>
      <c r="T59" s="0" t="n">
        <f aca="false">600*$B57*-1</f>
        <v>-720</v>
      </c>
    </row>
    <row r="60" customFormat="false" ht="14.25" hidden="false" customHeight="false" outlineLevel="0" collapsed="false">
      <c r="A60" s="0" t="n">
        <f aca="false">B60*-1</f>
        <v>-0.6</v>
      </c>
      <c r="B60" s="0" t="n">
        <v>0.6</v>
      </c>
      <c r="C60" s="0" t="n">
        <v>-110.7</v>
      </c>
      <c r="D60" s="0" t="n">
        <f aca="false">C60/1000</f>
        <v>-0.1107</v>
      </c>
      <c r="F60" s="0" t="n">
        <f aca="false">D60/(140*0.01)</f>
        <v>-0.0790714285714286</v>
      </c>
      <c r="G60" s="0" t="n">
        <f aca="false">600*A60</f>
        <v>-360</v>
      </c>
      <c r="S60" s="0" t="n">
        <f aca="false">$D58/(140*0.01)</f>
        <v>-0.0905</v>
      </c>
      <c r="T60" s="0" t="n">
        <f aca="false">600*$B58*-1</f>
        <v>-600</v>
      </c>
    </row>
    <row r="61" customFormat="false" ht="14.25" hidden="false" customHeight="false" outlineLevel="0" collapsed="false">
      <c r="A61" s="0" t="n">
        <f aca="false">B61*-1</f>
        <v>-0.4</v>
      </c>
      <c r="B61" s="0" t="n">
        <v>0.4</v>
      </c>
      <c r="C61" s="0" t="n">
        <v>-99.6</v>
      </c>
      <c r="D61" s="0" t="n">
        <f aca="false">C61/1000</f>
        <v>-0.0996</v>
      </c>
      <c r="F61" s="0" t="n">
        <f aca="false">D61/(140*0.01)</f>
        <v>-0.0711428571428571</v>
      </c>
      <c r="G61" s="0" t="n">
        <f aca="false">600*A61</f>
        <v>-240</v>
      </c>
      <c r="S61" s="0" t="n">
        <f aca="false">$D59/(140*0.01)</f>
        <v>-0.085</v>
      </c>
      <c r="T61" s="0" t="n">
        <f aca="false">600*$B59*-1</f>
        <v>-480</v>
      </c>
    </row>
    <row r="62" customFormat="false" ht="14.25" hidden="false" customHeight="false" outlineLevel="0" collapsed="false">
      <c r="A62" s="0" t="n">
        <f aca="false">B62*-1</f>
        <v>-0.2</v>
      </c>
      <c r="B62" s="0" t="n">
        <v>0.2</v>
      </c>
      <c r="C62" s="0" t="n">
        <v>-88.3</v>
      </c>
      <c r="D62" s="0" t="n">
        <f aca="false">C62/1000</f>
        <v>-0.0883</v>
      </c>
      <c r="F62" s="0" t="n">
        <f aca="false">D62/(140*0.01)</f>
        <v>-0.0630714285714286</v>
      </c>
      <c r="G62" s="0" t="n">
        <f aca="false">600*A62</f>
        <v>-120</v>
      </c>
      <c r="S62" s="0" t="n">
        <f aca="false">$D60/(140*0.01)</f>
        <v>-0.0790714285714286</v>
      </c>
      <c r="T62" s="0" t="n">
        <f aca="false">600*$B60*-1</f>
        <v>-360</v>
      </c>
    </row>
    <row r="63" customFormat="false" ht="14.25" hidden="false" customHeight="false" outlineLevel="0" collapsed="false">
      <c r="A63" s="0" t="n">
        <f aca="false">B63*-1</f>
        <v>-0</v>
      </c>
      <c r="B63" s="0" t="n">
        <v>0</v>
      </c>
      <c r="C63" s="0" t="n">
        <v>-74.9</v>
      </c>
      <c r="D63" s="0" t="n">
        <f aca="false">C63/1000</f>
        <v>-0.0749</v>
      </c>
      <c r="E63" s="0" t="s">
        <v>6</v>
      </c>
      <c r="F63" s="0" t="n">
        <f aca="false">D63/(140*0.01)</f>
        <v>-0.0535</v>
      </c>
      <c r="G63" s="0" t="n">
        <f aca="false">600*A63</f>
        <v>-0</v>
      </c>
      <c r="S63" s="0" t="n">
        <f aca="false">$D61/(140*0.01)</f>
        <v>-0.0711428571428571</v>
      </c>
      <c r="T63" s="0" t="n">
        <f aca="false">600*$B61*-1</f>
        <v>-240</v>
      </c>
    </row>
    <row r="64" customFormat="false" ht="14.25" hidden="false" customHeight="false" outlineLevel="0" collapsed="false">
      <c r="B64" s="0" t="n">
        <v>0.2</v>
      </c>
      <c r="C64" s="0" t="n">
        <v>-58.8</v>
      </c>
      <c r="D64" s="0" t="n">
        <f aca="false">C64/1000</f>
        <v>-0.0588</v>
      </c>
      <c r="F64" s="0" t="n">
        <f aca="false">D64/(140*0.01)</f>
        <v>-0.042</v>
      </c>
      <c r="G64" s="0" t="n">
        <f aca="false">600*B64</f>
        <v>120</v>
      </c>
      <c r="S64" s="0" t="n">
        <f aca="false">$D62/(140*0.01)</f>
        <v>-0.0630714285714286</v>
      </c>
      <c r="T64" s="0" t="n">
        <f aca="false">600*$B62*-1</f>
        <v>-120</v>
      </c>
    </row>
    <row r="65" customFormat="false" ht="14.25" hidden="false" customHeight="false" outlineLevel="0" collapsed="false">
      <c r="B65" s="0" t="n">
        <v>0.4</v>
      </c>
      <c r="C65" s="0" t="n">
        <v>-41</v>
      </c>
      <c r="D65" s="0" t="n">
        <f aca="false">C65/1000</f>
        <v>-0.041</v>
      </c>
      <c r="F65" s="0" t="n">
        <f aca="false">D65/(140*0.01)</f>
        <v>-0.0292857142857143</v>
      </c>
      <c r="G65" s="0" t="n">
        <f aca="false">600*B65</f>
        <v>240</v>
      </c>
      <c r="S65" s="0" t="n">
        <f aca="false">$D63/(140*0.01)</f>
        <v>-0.0535</v>
      </c>
      <c r="T65" s="0" t="n">
        <f aca="false">600*$B63*-1</f>
        <v>-0</v>
      </c>
    </row>
    <row r="66" customFormat="false" ht="14.25" hidden="false" customHeight="false" outlineLevel="0" collapsed="false">
      <c r="B66" s="0" t="n">
        <v>0.6</v>
      </c>
      <c r="C66" s="0" t="n">
        <v>-22.5</v>
      </c>
      <c r="D66" s="0" t="n">
        <f aca="false">C66/1000</f>
        <v>-0.0225</v>
      </c>
      <c r="F66" s="0" t="n">
        <f aca="false">D66/(140*0.01)</f>
        <v>-0.0160714285714286</v>
      </c>
      <c r="G66" s="0" t="n">
        <f aca="false">600*B66</f>
        <v>360</v>
      </c>
      <c r="S66" s="0" t="n">
        <f aca="false">$D64/(140*0.01)</f>
        <v>-0.042</v>
      </c>
      <c r="T66" s="0" t="n">
        <f aca="false">600*$B64</f>
        <v>120</v>
      </c>
    </row>
    <row r="67" customFormat="false" ht="14.25" hidden="false" customHeight="false" outlineLevel="0" collapsed="false">
      <c r="B67" s="0" t="n">
        <v>0.8</v>
      </c>
      <c r="C67" s="0" t="n">
        <v>-4.7</v>
      </c>
      <c r="D67" s="0" t="n">
        <f aca="false">C67/1000</f>
        <v>-0.0047</v>
      </c>
      <c r="F67" s="0" t="n">
        <f aca="false">D67/(140*0.01)</f>
        <v>-0.00335714285714286</v>
      </c>
      <c r="G67" s="0" t="n">
        <f aca="false">600*B67</f>
        <v>480</v>
      </c>
      <c r="S67" s="0" t="n">
        <f aca="false">$D65/(140*0.01)</f>
        <v>-0.0292857142857143</v>
      </c>
      <c r="T67" s="0" t="n">
        <f aca="false">600*$B65</f>
        <v>240</v>
      </c>
    </row>
    <row r="68" customFormat="false" ht="14.25" hidden="false" customHeight="false" outlineLevel="0" collapsed="false">
      <c r="B68" s="0" t="n">
        <v>1</v>
      </c>
      <c r="C68" s="0" t="n">
        <v>10.5</v>
      </c>
      <c r="D68" s="0" t="n">
        <f aca="false">C68/1000</f>
        <v>0.0105</v>
      </c>
      <c r="F68" s="0" t="n">
        <f aca="false">D68/(140*0.01)</f>
        <v>0.0075</v>
      </c>
      <c r="G68" s="0" t="n">
        <f aca="false">600*B68</f>
        <v>600</v>
      </c>
      <c r="S68" s="0" t="n">
        <f aca="false">$D66/(140*0.01)</f>
        <v>-0.0160714285714286</v>
      </c>
      <c r="T68" s="0" t="n">
        <f aca="false">600*$B66</f>
        <v>360</v>
      </c>
    </row>
    <row r="69" customFormat="false" ht="14.25" hidden="false" customHeight="false" outlineLevel="0" collapsed="false">
      <c r="B69" s="0" t="n">
        <v>1.2</v>
      </c>
      <c r="C69" s="0" t="n">
        <v>27.4</v>
      </c>
      <c r="D69" s="0" t="n">
        <f aca="false">C69/1000</f>
        <v>0.0274</v>
      </c>
      <c r="F69" s="0" t="n">
        <f aca="false">D69/(140*0.01)</f>
        <v>0.0195714285714286</v>
      </c>
      <c r="G69" s="0" t="n">
        <f aca="false">600*B69</f>
        <v>720</v>
      </c>
      <c r="S69" s="0" t="n">
        <f aca="false">$D67/(140*0.01)</f>
        <v>-0.00335714285714286</v>
      </c>
      <c r="T69" s="0" t="n">
        <f aca="false">600*$B67</f>
        <v>480</v>
      </c>
    </row>
    <row r="70" customFormat="false" ht="14.25" hidden="false" customHeight="false" outlineLevel="0" collapsed="false">
      <c r="B70" s="0" t="n">
        <v>1.4</v>
      </c>
      <c r="C70" s="0" t="n">
        <v>46.6</v>
      </c>
      <c r="D70" s="0" t="n">
        <f aca="false">C70/1000</f>
        <v>0.0466</v>
      </c>
      <c r="F70" s="0" t="n">
        <f aca="false">D70/(140*0.01)</f>
        <v>0.0332857142857143</v>
      </c>
      <c r="G70" s="0" t="n">
        <f aca="false">600*B70</f>
        <v>840</v>
      </c>
      <c r="S70" s="0" t="n">
        <f aca="false">$D68/(140*0.01)</f>
        <v>0.0075</v>
      </c>
      <c r="T70" s="0" t="n">
        <f aca="false">600*$B68</f>
        <v>600</v>
      </c>
    </row>
    <row r="71" customFormat="false" ht="14.25" hidden="false" customHeight="false" outlineLevel="0" collapsed="false">
      <c r="B71" s="0" t="n">
        <v>1.6</v>
      </c>
      <c r="C71" s="0" t="n">
        <v>65</v>
      </c>
      <c r="D71" s="0" t="n">
        <f aca="false">C71/1000</f>
        <v>0.065</v>
      </c>
      <c r="F71" s="0" t="n">
        <f aca="false">D71/(140*0.01)</f>
        <v>0.0464285714285714</v>
      </c>
      <c r="G71" s="0" t="n">
        <f aca="false">600*B71</f>
        <v>960</v>
      </c>
      <c r="S71" s="0" t="n">
        <f aca="false">$D69/(140*0.01)</f>
        <v>0.0195714285714286</v>
      </c>
      <c r="T71" s="0" t="n">
        <f aca="false">600*$B69</f>
        <v>720</v>
      </c>
    </row>
    <row r="72" customFormat="false" ht="14.25" hidden="false" customHeight="false" outlineLevel="0" collapsed="false">
      <c r="B72" s="0" t="n">
        <v>1.8</v>
      </c>
      <c r="C72" s="0" t="n">
        <v>89.4</v>
      </c>
      <c r="D72" s="0" t="n">
        <f aca="false">C72/1000</f>
        <v>0.0894</v>
      </c>
      <c r="F72" s="0" t="n">
        <f aca="false">D72/(140*0.01)</f>
        <v>0.0638571428571429</v>
      </c>
      <c r="G72" s="0" t="n">
        <f aca="false">600*B72</f>
        <v>1080</v>
      </c>
      <c r="S72" s="0" t="n">
        <f aca="false">$D70/(140*0.01)</f>
        <v>0.0332857142857143</v>
      </c>
      <c r="T72" s="0" t="n">
        <f aca="false">600*$B70</f>
        <v>840</v>
      </c>
    </row>
    <row r="73" customFormat="false" ht="14.25" hidden="false" customHeight="false" outlineLevel="0" collapsed="false">
      <c r="B73" s="0" t="n">
        <v>2</v>
      </c>
      <c r="C73" s="0" t="n">
        <v>100.5</v>
      </c>
      <c r="D73" s="0" t="n">
        <f aca="false">C73/1000</f>
        <v>0.1005</v>
      </c>
      <c r="F73" s="0" t="n">
        <f aca="false">D73/(140*0.01)</f>
        <v>0.0717857142857143</v>
      </c>
      <c r="G73" s="0" t="n">
        <f aca="false">600*B73</f>
        <v>1200</v>
      </c>
      <c r="S73" s="0" t="n">
        <f aca="false">$D71/(140*0.01)</f>
        <v>0.0464285714285714</v>
      </c>
      <c r="T73" s="0" t="n">
        <f aca="false">600*$B71</f>
        <v>960</v>
      </c>
    </row>
    <row r="74" customFormat="false" ht="14.25" hidden="false" customHeight="false" outlineLevel="0" collapsed="false">
      <c r="B74" s="0" t="n">
        <v>2.2</v>
      </c>
      <c r="C74" s="0" t="n">
        <v>116</v>
      </c>
      <c r="D74" s="0" t="n">
        <f aca="false">C74/1000</f>
        <v>0.116</v>
      </c>
      <c r="F74" s="0" t="n">
        <f aca="false">D74/(140*0.01)</f>
        <v>0.0828571428571429</v>
      </c>
      <c r="G74" s="0" t="n">
        <f aca="false">600*B74</f>
        <v>1320</v>
      </c>
      <c r="S74" s="0" t="n">
        <f aca="false">$D72/(140*0.01)</f>
        <v>0.0638571428571429</v>
      </c>
      <c r="T74" s="0" t="n">
        <f aca="false">600*$B72</f>
        <v>1080</v>
      </c>
    </row>
    <row r="75" customFormat="false" ht="14.25" hidden="false" customHeight="false" outlineLevel="0" collapsed="false">
      <c r="B75" s="0" t="n">
        <v>2.4</v>
      </c>
      <c r="C75" s="0" t="n">
        <v>128.9</v>
      </c>
      <c r="D75" s="0" t="n">
        <f aca="false">C75/1000</f>
        <v>0.1289</v>
      </c>
      <c r="F75" s="0" t="n">
        <f aca="false">D75/(140*0.01)</f>
        <v>0.0920714285714286</v>
      </c>
      <c r="G75" s="0" t="n">
        <f aca="false">600*B75</f>
        <v>1440</v>
      </c>
      <c r="S75" s="0" t="n">
        <f aca="false">$D73/(140*0.01)</f>
        <v>0.0717857142857143</v>
      </c>
      <c r="T75" s="0" t="n">
        <f aca="false">600*$B73</f>
        <v>1200</v>
      </c>
    </row>
    <row r="76" customFormat="false" ht="14.25" hidden="false" customHeight="false" outlineLevel="0" collapsed="false">
      <c r="B76" s="0" t="n">
        <v>2.6</v>
      </c>
      <c r="C76" s="0" t="n">
        <v>142.4</v>
      </c>
      <c r="D76" s="0" t="n">
        <f aca="false">C76/1000</f>
        <v>0.1424</v>
      </c>
      <c r="F76" s="0" t="n">
        <f aca="false">D76/(140*0.01)</f>
        <v>0.101714285714286</v>
      </c>
      <c r="G76" s="0" t="n">
        <f aca="false">600*B76</f>
        <v>1560</v>
      </c>
      <c r="S76" s="0" t="n">
        <f aca="false">$D74/(140*0.01)</f>
        <v>0.0828571428571429</v>
      </c>
      <c r="T76" s="0" t="n">
        <f aca="false">600*$B74</f>
        <v>1320</v>
      </c>
    </row>
    <row r="77" customFormat="false" ht="14.25" hidden="false" customHeight="false" outlineLevel="0" collapsed="false">
      <c r="B77" s="0" t="n">
        <v>2.8</v>
      </c>
      <c r="C77" s="0" t="n">
        <v>153.7</v>
      </c>
      <c r="D77" s="0" t="n">
        <f aca="false">C77/1000</f>
        <v>0.1537</v>
      </c>
      <c r="F77" s="0" t="n">
        <f aca="false">D77/(140*0.01)</f>
        <v>0.109785714285714</v>
      </c>
      <c r="G77" s="0" t="n">
        <f aca="false">600*B77</f>
        <v>1680</v>
      </c>
      <c r="S77" s="0" t="n">
        <f aca="false">$D75/(140*0.01)</f>
        <v>0.0920714285714286</v>
      </c>
      <c r="T77" s="0" t="n">
        <f aca="false">600*$B75</f>
        <v>1440</v>
      </c>
    </row>
    <row r="78" customFormat="false" ht="14.25" hidden="false" customHeight="false" outlineLevel="0" collapsed="false">
      <c r="B78" s="0" t="n">
        <v>3</v>
      </c>
      <c r="C78" s="0" t="n">
        <v>166.2</v>
      </c>
      <c r="D78" s="0" t="n">
        <f aca="false">C78/1000</f>
        <v>0.1662</v>
      </c>
      <c r="E78" s="0" t="s">
        <v>7</v>
      </c>
      <c r="F78" s="0" t="n">
        <f aca="false">D78/(140*0.01)</f>
        <v>0.118714285714286</v>
      </c>
      <c r="G78" s="0" t="n">
        <f aca="false">600*B78</f>
        <v>1800</v>
      </c>
      <c r="S78" s="0" t="n">
        <f aca="false">$D76/(140*0.01)</f>
        <v>0.101714285714286</v>
      </c>
      <c r="T78" s="0" t="n">
        <f aca="false">600*$B76</f>
        <v>1560</v>
      </c>
    </row>
    <row r="79" customFormat="false" ht="14.25" hidden="false" customHeight="false" outlineLevel="0" collapsed="false">
      <c r="S79" s="0" t="n">
        <f aca="false">$D77/(140*0.01)</f>
        <v>0.109785714285714</v>
      </c>
      <c r="T79" s="0" t="n">
        <f aca="false">600*$B77</f>
        <v>1680</v>
      </c>
    </row>
    <row r="80" customFormat="false" ht="14.25" hidden="false" customHeight="false" outlineLevel="0" collapsed="false">
      <c r="S80" s="0" t="n">
        <f aca="false">$D78/(140*0.01)</f>
        <v>0.118714285714286</v>
      </c>
      <c r="T80" s="0" t="n">
        <f aca="false">600*$B78</f>
        <v>1800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X34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S4" activeCellId="0" sqref="S4"/>
    </sheetView>
  </sheetViews>
  <sheetFormatPr defaultRowHeight="12.75" zeroHeight="false" outlineLevelRow="0" outlineLevelCol="0"/>
  <cols>
    <col collapsed="false" customWidth="true" hidden="false" outlineLevel="0" max="1" min="1" style="0" width="10.62"/>
    <col collapsed="false" customWidth="true" hidden="false" outlineLevel="0" max="2" min="2" style="1" width="5.75"/>
    <col collapsed="false" customWidth="true" hidden="false" outlineLevel="0" max="6" min="3" style="0" width="10.62"/>
    <col collapsed="false" customWidth="true" hidden="false" outlineLevel="0" max="7" min="7" style="0" width="5.75"/>
    <col collapsed="false" customWidth="true" hidden="false" outlineLevel="0" max="13" min="8" style="0" width="6.13"/>
    <col collapsed="false" customWidth="true" hidden="false" outlineLevel="0" max="14" min="14" style="0" width="10.62"/>
    <col collapsed="false" customWidth="true" hidden="false" outlineLevel="0" max="18" min="15" style="0" width="9"/>
    <col collapsed="false" customWidth="true" hidden="false" outlineLevel="0" max="19" min="19" style="0" width="8"/>
    <col collapsed="false" customWidth="true" hidden="false" outlineLevel="0" max="20" min="20" style="0" width="12.25"/>
    <col collapsed="false" customWidth="true" hidden="false" outlineLevel="0" max="21" min="21" style="0" width="9"/>
    <col collapsed="false" customWidth="true" hidden="false" outlineLevel="0" max="1025" min="22" style="0" width="8.61"/>
  </cols>
  <sheetData>
    <row r="1" customFormat="false" ht="14.25" hidden="false" customHeight="false" outlineLevel="0" collapsed="false">
      <c r="C1" s="0" t="s">
        <v>8</v>
      </c>
    </row>
    <row r="2" customFormat="false" ht="10.5" hidden="false" customHeight="true" outlineLevel="0" collapsed="false">
      <c r="H2" s="2" t="s">
        <v>9</v>
      </c>
    </row>
    <row r="3" customFormat="false" ht="15" hidden="false" customHeight="false" outlineLevel="0" collapsed="false">
      <c r="F3" s="2"/>
      <c r="G3" s="2"/>
      <c r="I3" s="2"/>
      <c r="J3" s="2"/>
      <c r="K3" s="2"/>
      <c r="L3" s="2"/>
      <c r="M3" s="2"/>
      <c r="N3" s="2"/>
      <c r="Q3" s="3" t="s">
        <v>10</v>
      </c>
      <c r="R3" s="0" t="s">
        <v>11</v>
      </c>
      <c r="S3" s="0" t="s">
        <v>12</v>
      </c>
      <c r="T3" s="0" t="s">
        <v>13</v>
      </c>
      <c r="U3" s="4" t="s">
        <v>14</v>
      </c>
      <c r="W3" s="5" t="s">
        <v>15</v>
      </c>
      <c r="X3" s="4" t="s">
        <v>16</v>
      </c>
    </row>
    <row r="4" customFormat="false" ht="14.25" hidden="false" customHeight="false" outlineLevel="0" collapsed="false">
      <c r="B4" s="3" t="s">
        <v>10</v>
      </c>
      <c r="C4" s="5" t="s">
        <v>17</v>
      </c>
      <c r="D4" s="5" t="s">
        <v>18</v>
      </c>
      <c r="F4" s="2"/>
      <c r="G4" s="6" t="s">
        <v>10</v>
      </c>
      <c r="H4" s="7" t="s">
        <v>19</v>
      </c>
      <c r="I4" s="7" t="s">
        <v>20</v>
      </c>
      <c r="J4" s="7" t="s">
        <v>21</v>
      </c>
      <c r="K4" s="7" t="s">
        <v>22</v>
      </c>
      <c r="L4" s="7" t="s">
        <v>23</v>
      </c>
      <c r="M4" s="7" t="s">
        <v>24</v>
      </c>
      <c r="N4" s="2"/>
      <c r="Q4" s="1" t="n">
        <v>575</v>
      </c>
      <c r="R4" s="8" t="n">
        <v>31.8</v>
      </c>
      <c r="S4" s="0" t="n">
        <v>10000000</v>
      </c>
      <c r="T4" s="0" t="n">
        <f aca="false">R4/S4</f>
        <v>3.18E-006</v>
      </c>
      <c r="U4" s="0" t="n">
        <f aca="false">T4*1000000</f>
        <v>3.18</v>
      </c>
      <c r="W4" s="0" t="n">
        <v>10</v>
      </c>
      <c r="X4" s="0" t="n">
        <f aca="false">T4*1000000</f>
        <v>3.18</v>
      </c>
    </row>
    <row r="5" customFormat="false" ht="14.25" hidden="false" customHeight="false" outlineLevel="0" collapsed="false">
      <c r="B5" s="1" t="n">
        <v>575</v>
      </c>
      <c r="C5" s="0" t="n">
        <v>10</v>
      </c>
      <c r="D5" s="8" t="n">
        <v>31.8</v>
      </c>
      <c r="F5" s="2"/>
      <c r="G5" s="9" t="n">
        <v>400</v>
      </c>
      <c r="H5" s="10" t="n">
        <v>-1.07</v>
      </c>
      <c r="I5" s="10" t="n">
        <v>-1.11</v>
      </c>
      <c r="J5" s="10" t="n">
        <v>-1.25</v>
      </c>
      <c r="K5" s="10" t="n">
        <v>-1.17</v>
      </c>
      <c r="L5" s="10" t="n">
        <v>-1.21</v>
      </c>
      <c r="M5" s="11" t="n">
        <f aca="false">SUM(H5:L5)/5</f>
        <v>-1.162</v>
      </c>
      <c r="N5" s="12" t="n">
        <f aca="false">M5*-1</f>
        <v>1.162</v>
      </c>
      <c r="Q5" s="1" t="n">
        <v>575</v>
      </c>
      <c r="R5" s="8" t="n">
        <v>30.85</v>
      </c>
      <c r="S5" s="0" t="n">
        <v>10000000</v>
      </c>
      <c r="T5" s="0" t="n">
        <f aca="false">R5/S5</f>
        <v>3.085E-006</v>
      </c>
      <c r="U5" s="0" t="n">
        <f aca="false">T5*1000000</f>
        <v>3.085</v>
      </c>
      <c r="W5" s="0" t="n">
        <v>9</v>
      </c>
      <c r="X5" s="0" t="n">
        <f aca="false">T5*1000000</f>
        <v>3.085</v>
      </c>
    </row>
    <row r="6" customFormat="false" ht="14.25" hidden="false" customHeight="false" outlineLevel="0" collapsed="false">
      <c r="B6" s="1" t="n">
        <v>575</v>
      </c>
      <c r="C6" s="0" t="n">
        <v>9</v>
      </c>
      <c r="D6" s="8" t="n">
        <v>30.85</v>
      </c>
      <c r="F6" s="2"/>
      <c r="G6" s="9" t="n">
        <v>425</v>
      </c>
      <c r="H6" s="10" t="n">
        <v>-1</v>
      </c>
      <c r="I6" s="10" t="n">
        <v>-1.03</v>
      </c>
      <c r="J6" s="10" t="n">
        <v>-1.02</v>
      </c>
      <c r="K6" s="10" t="n">
        <v>-0.99</v>
      </c>
      <c r="L6" s="10" t="n">
        <v>-1.03</v>
      </c>
      <c r="M6" s="11" t="n">
        <f aca="false">SUM(H6:L6)/5</f>
        <v>-1.014</v>
      </c>
      <c r="N6" s="12" t="n">
        <f aca="false">M6*-1</f>
        <v>1.014</v>
      </c>
      <c r="Q6" s="1" t="n">
        <v>575</v>
      </c>
      <c r="R6" s="8" t="n">
        <v>29.53</v>
      </c>
      <c r="S6" s="0" t="n">
        <v>10000000</v>
      </c>
      <c r="T6" s="0" t="n">
        <f aca="false">R6/S6</f>
        <v>2.953E-006</v>
      </c>
      <c r="U6" s="0" t="n">
        <f aca="false">T6*1000000</f>
        <v>2.953</v>
      </c>
      <c r="W6" s="0" t="n">
        <v>8</v>
      </c>
      <c r="X6" s="0" t="n">
        <f aca="false">T6*1000000</f>
        <v>2.953</v>
      </c>
    </row>
    <row r="7" customFormat="false" ht="14.25" hidden="false" customHeight="false" outlineLevel="0" collapsed="false">
      <c r="B7" s="1" t="n">
        <v>575</v>
      </c>
      <c r="C7" s="0" t="n">
        <v>8</v>
      </c>
      <c r="D7" s="8" t="n">
        <v>29.53</v>
      </c>
      <c r="F7" s="2"/>
      <c r="G7" s="9" t="n">
        <v>436</v>
      </c>
      <c r="H7" s="10" t="n">
        <v>-0.87</v>
      </c>
      <c r="I7" s="10" t="n">
        <v>-0.76</v>
      </c>
      <c r="J7" s="10" t="n">
        <v>-0.85</v>
      </c>
      <c r="K7" s="10" t="n">
        <v>-0.88</v>
      </c>
      <c r="L7" s="10" t="n">
        <v>-0.86</v>
      </c>
      <c r="M7" s="11" t="n">
        <f aca="false">SUM(H7:L7)/5</f>
        <v>-0.844</v>
      </c>
      <c r="N7" s="12" t="n">
        <f aca="false">M7*-1</f>
        <v>0.844</v>
      </c>
      <c r="Q7" s="1" t="n">
        <v>575</v>
      </c>
      <c r="R7" s="8" t="n">
        <v>28</v>
      </c>
      <c r="S7" s="0" t="n">
        <v>10000000</v>
      </c>
      <c r="T7" s="0" t="n">
        <f aca="false">R7/S7</f>
        <v>2.8E-006</v>
      </c>
      <c r="U7" s="0" t="n">
        <f aca="false">T7*1000000</f>
        <v>2.8</v>
      </c>
      <c r="W7" s="0" t="n">
        <v>7</v>
      </c>
      <c r="X7" s="0" t="n">
        <f aca="false">T7*1000000</f>
        <v>2.8</v>
      </c>
    </row>
    <row r="8" customFormat="false" ht="14.25" hidden="false" customHeight="false" outlineLevel="0" collapsed="false">
      <c r="B8" s="1" t="n">
        <v>575</v>
      </c>
      <c r="C8" s="0" t="n">
        <v>7</v>
      </c>
      <c r="D8" s="8" t="n">
        <v>28</v>
      </c>
      <c r="F8" s="2"/>
      <c r="G8" s="9" t="n">
        <v>500</v>
      </c>
      <c r="H8" s="10" t="n">
        <v>-0.65</v>
      </c>
      <c r="I8" s="10" t="n">
        <v>-0.62</v>
      </c>
      <c r="J8" s="10" t="n">
        <v>-0.7</v>
      </c>
      <c r="K8" s="10" t="n">
        <v>-0.69</v>
      </c>
      <c r="L8" s="10" t="n">
        <v>-0.62</v>
      </c>
      <c r="M8" s="11" t="n">
        <f aca="false">SUM(H8:L8)/5</f>
        <v>-0.656</v>
      </c>
      <c r="N8" s="12" t="n">
        <f aca="false">M8*-1</f>
        <v>0.656</v>
      </c>
      <c r="Q8" s="1" t="n">
        <v>575</v>
      </c>
      <c r="R8" s="8" t="n">
        <v>26.54</v>
      </c>
      <c r="S8" s="0" t="n">
        <v>10000000</v>
      </c>
      <c r="T8" s="0" t="n">
        <f aca="false">R8/S8</f>
        <v>2.654E-006</v>
      </c>
      <c r="U8" s="0" t="n">
        <f aca="false">T8*1000000</f>
        <v>2.654</v>
      </c>
      <c r="W8" s="0" t="n">
        <v>6</v>
      </c>
      <c r="X8" s="0" t="n">
        <f aca="false">T8*1000000</f>
        <v>2.654</v>
      </c>
    </row>
    <row r="9" customFormat="false" ht="14.25" hidden="false" customHeight="false" outlineLevel="0" collapsed="false">
      <c r="B9" s="1" t="n">
        <v>575</v>
      </c>
      <c r="C9" s="0" t="n">
        <v>6</v>
      </c>
      <c r="D9" s="8" t="n">
        <v>26.54</v>
      </c>
      <c r="F9" s="2"/>
      <c r="G9" s="9" t="n">
        <v>550</v>
      </c>
      <c r="H9" s="10" t="n">
        <v>-0.44</v>
      </c>
      <c r="I9" s="10" t="n">
        <v>-0.46</v>
      </c>
      <c r="J9" s="10" t="n">
        <v>-0.45</v>
      </c>
      <c r="K9" s="10" t="n">
        <v>-0.39</v>
      </c>
      <c r="L9" s="10" t="n">
        <v>-0.41</v>
      </c>
      <c r="M9" s="11" t="n">
        <f aca="false">SUM(H9:L9)/5</f>
        <v>-0.43</v>
      </c>
      <c r="N9" s="12" t="n">
        <f aca="false">M9*-1</f>
        <v>0.43</v>
      </c>
      <c r="Q9" s="1" t="n">
        <v>575</v>
      </c>
      <c r="R9" s="8" t="n">
        <v>25.16</v>
      </c>
      <c r="S9" s="0" t="n">
        <v>10000000</v>
      </c>
      <c r="T9" s="0" t="n">
        <f aca="false">R9/S9</f>
        <v>2.516E-006</v>
      </c>
      <c r="U9" s="0" t="n">
        <f aca="false">T9*1000000</f>
        <v>2.516</v>
      </c>
      <c r="W9" s="0" t="n">
        <v>5</v>
      </c>
      <c r="X9" s="0" t="n">
        <f aca="false">T9*1000000</f>
        <v>2.516</v>
      </c>
    </row>
    <row r="10" customFormat="false" ht="14.25" hidden="false" customHeight="false" outlineLevel="0" collapsed="false">
      <c r="B10" s="1" t="n">
        <v>575</v>
      </c>
      <c r="C10" s="0" t="n">
        <v>5</v>
      </c>
      <c r="D10" s="8" t="n">
        <v>25.16</v>
      </c>
      <c r="F10" s="2"/>
      <c r="G10" s="9" t="n">
        <v>575</v>
      </c>
      <c r="H10" s="10" t="n">
        <v>-0.33</v>
      </c>
      <c r="I10" s="10" t="n">
        <v>-0.34</v>
      </c>
      <c r="J10" s="10" t="n">
        <v>-0.37</v>
      </c>
      <c r="K10" s="10" t="n">
        <v>-0.36</v>
      </c>
      <c r="L10" s="10" t="n">
        <v>-0.34</v>
      </c>
      <c r="M10" s="11" t="n">
        <f aca="false">SUM(H10:L10)/5</f>
        <v>-0.348</v>
      </c>
      <c r="N10" s="12" t="n">
        <f aca="false">M10*-1</f>
        <v>0.348</v>
      </c>
      <c r="Q10" s="1" t="n">
        <v>575</v>
      </c>
      <c r="R10" s="8" t="n">
        <v>22.45</v>
      </c>
      <c r="S10" s="0" t="n">
        <v>10000000</v>
      </c>
      <c r="T10" s="0" t="n">
        <f aca="false">R10/S10</f>
        <v>2.245E-006</v>
      </c>
      <c r="U10" s="0" t="n">
        <f aca="false">T10*1000000</f>
        <v>2.245</v>
      </c>
      <c r="W10" s="0" t="n">
        <v>4</v>
      </c>
      <c r="X10" s="0" t="n">
        <f aca="false">T10*1000000</f>
        <v>2.245</v>
      </c>
    </row>
    <row r="11" customFormat="false" ht="14.25" hidden="false" customHeight="false" outlineLevel="0" collapsed="false">
      <c r="B11" s="1" t="n">
        <v>575</v>
      </c>
      <c r="C11" s="0" t="n">
        <v>4</v>
      </c>
      <c r="D11" s="8" t="n">
        <v>22.45</v>
      </c>
      <c r="F11" s="2"/>
      <c r="G11" s="9" t="n">
        <v>600</v>
      </c>
      <c r="H11" s="10" t="n">
        <v>-0.22</v>
      </c>
      <c r="I11" s="10" t="n">
        <v>-0.24</v>
      </c>
      <c r="J11" s="10" t="n">
        <v>-0.27</v>
      </c>
      <c r="K11" s="10" t="n">
        <v>-0.23</v>
      </c>
      <c r="L11" s="10" t="n">
        <v>-0.25</v>
      </c>
      <c r="M11" s="11" t="n">
        <f aca="false">SUM(H11:L11)/5</f>
        <v>-0.242</v>
      </c>
      <c r="N11" s="12" t="n">
        <f aca="false">M11*-1</f>
        <v>0.242</v>
      </c>
      <c r="Q11" s="1" t="n">
        <v>575</v>
      </c>
      <c r="R11" s="8" t="n">
        <v>18.41</v>
      </c>
      <c r="S11" s="0" t="n">
        <v>10000000</v>
      </c>
      <c r="T11" s="0" t="n">
        <f aca="false">R11/S11</f>
        <v>1.841E-006</v>
      </c>
      <c r="U11" s="0" t="n">
        <f aca="false">T11*1000000</f>
        <v>1.841</v>
      </c>
      <c r="W11" s="0" t="n">
        <v>3</v>
      </c>
      <c r="X11" s="0" t="n">
        <f aca="false">T11*1000000</f>
        <v>1.841</v>
      </c>
    </row>
    <row r="12" customFormat="false" ht="14.25" hidden="false" customHeight="false" outlineLevel="0" collapsed="false">
      <c r="B12" s="1" t="n">
        <v>575</v>
      </c>
      <c r="C12" s="0" t="n">
        <v>3</v>
      </c>
      <c r="D12" s="8" t="n">
        <v>18.41</v>
      </c>
      <c r="F12" s="2"/>
      <c r="G12" s="9" t="n">
        <v>625</v>
      </c>
      <c r="H12" s="10" t="n">
        <v>-0.15</v>
      </c>
      <c r="I12" s="10" t="n">
        <v>-0.13</v>
      </c>
      <c r="J12" s="10" t="n">
        <v>-0.17</v>
      </c>
      <c r="K12" s="10" t="n">
        <v>-0.15</v>
      </c>
      <c r="L12" s="10" t="n">
        <v>-0.13</v>
      </c>
      <c r="M12" s="11" t="n">
        <f aca="false">SUM(H12:L12)/5</f>
        <v>-0.146</v>
      </c>
      <c r="N12" s="12" t="n">
        <f aca="false">M12*-1</f>
        <v>0.146</v>
      </c>
      <c r="Q12" s="1" t="n">
        <v>575</v>
      </c>
      <c r="R12" s="8" t="n">
        <v>14</v>
      </c>
      <c r="S12" s="0" t="n">
        <v>10000000</v>
      </c>
      <c r="T12" s="0" t="n">
        <f aca="false">R12/S12</f>
        <v>1.4E-006</v>
      </c>
      <c r="U12" s="0" t="n">
        <f aca="false">T12*1000000</f>
        <v>1.4</v>
      </c>
      <c r="W12" s="0" t="n">
        <v>2</v>
      </c>
      <c r="X12" s="0" t="n">
        <f aca="false">T12*1000000</f>
        <v>1.4</v>
      </c>
    </row>
    <row r="13" customFormat="false" ht="14.25" hidden="false" customHeight="false" outlineLevel="0" collapsed="false">
      <c r="B13" s="1" t="n">
        <v>575</v>
      </c>
      <c r="C13" s="0" t="n">
        <v>2</v>
      </c>
      <c r="D13" s="8" t="n">
        <v>14</v>
      </c>
      <c r="F13" s="2"/>
      <c r="G13" s="9" t="n">
        <v>650</v>
      </c>
      <c r="H13" s="10" t="n">
        <v>-0.1</v>
      </c>
      <c r="I13" s="10" t="n">
        <v>-0.12</v>
      </c>
      <c r="J13" s="10" t="n">
        <v>-0.14</v>
      </c>
      <c r="K13" s="10" t="n">
        <v>-0.13</v>
      </c>
      <c r="L13" s="10" t="n">
        <v>-0.11</v>
      </c>
      <c r="M13" s="11" t="n">
        <f aca="false">SUM(H13:L13)/5</f>
        <v>-0.12</v>
      </c>
      <c r="N13" s="12" t="n">
        <f aca="false">M13*-1</f>
        <v>0.12</v>
      </c>
      <c r="Q13" s="1" t="n">
        <v>575</v>
      </c>
      <c r="R13" s="0" t="n">
        <v>6.66</v>
      </c>
      <c r="S13" s="0" t="n">
        <v>10000000</v>
      </c>
      <c r="T13" s="0" t="n">
        <f aca="false">R13/S13</f>
        <v>6.66E-007</v>
      </c>
      <c r="U13" s="0" t="n">
        <f aca="false">T13*1000000</f>
        <v>0.666</v>
      </c>
      <c r="W13" s="0" t="n">
        <v>1</v>
      </c>
      <c r="X13" s="0" t="n">
        <f aca="false">T13*1000000</f>
        <v>0.666</v>
      </c>
    </row>
    <row r="14" customFormat="false" ht="14.25" hidden="false" customHeight="false" outlineLevel="0" collapsed="false">
      <c r="B14" s="1" t="n">
        <v>575</v>
      </c>
      <c r="C14" s="0" t="n">
        <v>1</v>
      </c>
      <c r="D14" s="0" t="n">
        <v>6.66</v>
      </c>
      <c r="F14" s="2"/>
      <c r="G14" s="9" t="n">
        <v>675</v>
      </c>
      <c r="H14" s="10" t="n">
        <v>-0.07</v>
      </c>
      <c r="I14" s="10" t="n">
        <v>-0.06</v>
      </c>
      <c r="J14" s="10" t="n">
        <v>-0.08</v>
      </c>
      <c r="K14" s="10" t="n">
        <v>-0.07</v>
      </c>
      <c r="L14" s="10" t="n">
        <v>-0.06</v>
      </c>
      <c r="M14" s="11" t="n">
        <f aca="false">SUM(H14:L14)/5</f>
        <v>-0.068</v>
      </c>
      <c r="N14" s="12" t="n">
        <f aca="false">M14*-1</f>
        <v>0.068</v>
      </c>
      <c r="Q14" s="1" t="n">
        <v>575</v>
      </c>
      <c r="R14" s="8" t="n">
        <v>5.85</v>
      </c>
      <c r="S14" s="0" t="n">
        <v>10000000</v>
      </c>
      <c r="T14" s="0" t="n">
        <f aca="false">R14/S14</f>
        <v>5.85E-007</v>
      </c>
      <c r="U14" s="0" t="n">
        <f aca="false">T14*1000000</f>
        <v>0.585</v>
      </c>
      <c r="W14" s="0" t="n">
        <v>0.9</v>
      </c>
      <c r="X14" s="0" t="n">
        <f aca="false">T14*1000000</f>
        <v>0.585</v>
      </c>
    </row>
    <row r="15" customFormat="false" ht="14.25" hidden="false" customHeight="false" outlineLevel="0" collapsed="false">
      <c r="B15" s="1" t="n">
        <v>575</v>
      </c>
      <c r="C15" s="0" t="n">
        <v>0.9</v>
      </c>
      <c r="D15" s="8" t="n">
        <v>5.85</v>
      </c>
      <c r="F15" s="2"/>
      <c r="G15" s="2"/>
      <c r="H15" s="2"/>
      <c r="I15" s="2"/>
      <c r="J15" s="2"/>
      <c r="K15" s="2"/>
      <c r="L15" s="2"/>
      <c r="M15" s="2"/>
      <c r="N15" s="2"/>
      <c r="Q15" s="1" t="n">
        <v>575</v>
      </c>
      <c r="R15" s="8" t="n">
        <v>5.03</v>
      </c>
      <c r="S15" s="0" t="n">
        <v>10000000</v>
      </c>
      <c r="T15" s="0" t="n">
        <f aca="false">R15/S15</f>
        <v>5.03E-007</v>
      </c>
      <c r="U15" s="0" t="n">
        <f aca="false">T15*1000000</f>
        <v>0.503</v>
      </c>
      <c r="W15" s="0" t="n">
        <v>0.8</v>
      </c>
      <c r="X15" s="0" t="n">
        <f aca="false">T15*1000000</f>
        <v>0.503</v>
      </c>
    </row>
    <row r="16" customFormat="false" ht="14.25" hidden="false" customHeight="false" outlineLevel="0" collapsed="false">
      <c r="B16" s="1" t="n">
        <v>575</v>
      </c>
      <c r="C16" s="0" t="n">
        <v>0.8</v>
      </c>
      <c r="D16" s="8" t="n">
        <v>5.03</v>
      </c>
      <c r="Q16" s="1" t="n">
        <v>575</v>
      </c>
      <c r="R16" s="8" t="n">
        <v>4.23</v>
      </c>
      <c r="S16" s="0" t="n">
        <v>10000000</v>
      </c>
      <c r="T16" s="0" t="n">
        <f aca="false">R16/S16</f>
        <v>4.23E-007</v>
      </c>
      <c r="U16" s="0" t="n">
        <f aca="false">T16*1000000</f>
        <v>0.423</v>
      </c>
      <c r="W16" s="0" t="n">
        <v>0.7</v>
      </c>
      <c r="X16" s="0" t="n">
        <f aca="false">T16*1000000</f>
        <v>0.423</v>
      </c>
    </row>
    <row r="17" customFormat="false" ht="14.25" hidden="false" customHeight="false" outlineLevel="0" collapsed="false">
      <c r="B17" s="1" t="n">
        <v>575</v>
      </c>
      <c r="C17" s="0" t="n">
        <v>0.7</v>
      </c>
      <c r="D17" s="8" t="n">
        <v>4.23</v>
      </c>
      <c r="F17" s="0" t="s">
        <v>25</v>
      </c>
      <c r="Q17" s="1" t="n">
        <v>575</v>
      </c>
      <c r="R17" s="8" t="n">
        <v>3.52</v>
      </c>
      <c r="S17" s="0" t="n">
        <v>10000000</v>
      </c>
      <c r="T17" s="0" t="n">
        <f aca="false">R17/S17</f>
        <v>3.52E-007</v>
      </c>
      <c r="U17" s="0" t="n">
        <f aca="false">T17*1000000</f>
        <v>0.352</v>
      </c>
      <c r="W17" s="0" t="n">
        <v>0.6</v>
      </c>
      <c r="X17" s="0" t="n">
        <f aca="false">T17*1000000</f>
        <v>0.352</v>
      </c>
    </row>
    <row r="18" customFormat="false" ht="14.25" hidden="false" customHeight="false" outlineLevel="0" collapsed="false">
      <c r="B18" s="1" t="n">
        <v>575</v>
      </c>
      <c r="C18" s="0" t="n">
        <v>0.6</v>
      </c>
      <c r="D18" s="8" t="n">
        <v>3.52</v>
      </c>
      <c r="Q18" s="1" t="n">
        <v>575</v>
      </c>
      <c r="R18" s="8" t="n">
        <v>2.85</v>
      </c>
      <c r="S18" s="0" t="n">
        <v>10000000</v>
      </c>
      <c r="T18" s="0" t="n">
        <f aca="false">R18/S18</f>
        <v>2.85E-007</v>
      </c>
      <c r="U18" s="0" t="n">
        <f aca="false">T18*1000000</f>
        <v>0.285</v>
      </c>
      <c r="W18" s="0" t="n">
        <v>0.5</v>
      </c>
      <c r="X18" s="0" t="n">
        <f aca="false">T18*1000000</f>
        <v>0.285</v>
      </c>
    </row>
    <row r="19" customFormat="false" ht="14.25" hidden="false" customHeight="false" outlineLevel="0" collapsed="false">
      <c r="B19" s="1" t="n">
        <v>575</v>
      </c>
      <c r="C19" s="0" t="n">
        <v>0.5</v>
      </c>
      <c r="D19" s="8" t="n">
        <v>2.85</v>
      </c>
      <c r="Q19" s="1" t="n">
        <v>575</v>
      </c>
      <c r="R19" s="8" t="n">
        <v>2.27</v>
      </c>
      <c r="S19" s="0" t="n">
        <v>10000000</v>
      </c>
      <c r="T19" s="0" t="n">
        <f aca="false">R19/S19</f>
        <v>2.27E-007</v>
      </c>
      <c r="U19" s="0" t="n">
        <f aca="false">T19*1000000</f>
        <v>0.227</v>
      </c>
      <c r="W19" s="0" t="n">
        <v>0.4</v>
      </c>
      <c r="X19" s="0" t="n">
        <f aca="false">T19*1000000</f>
        <v>0.227</v>
      </c>
    </row>
    <row r="20" customFormat="false" ht="14.25" hidden="false" customHeight="false" outlineLevel="0" collapsed="false">
      <c r="B20" s="1" t="n">
        <v>575</v>
      </c>
      <c r="C20" s="0" t="n">
        <v>0.4</v>
      </c>
      <c r="D20" s="8" t="n">
        <v>2.27</v>
      </c>
      <c r="Q20" s="1" t="n">
        <v>575</v>
      </c>
      <c r="R20" s="8" t="n">
        <v>1.72</v>
      </c>
      <c r="S20" s="0" t="n">
        <v>10000000</v>
      </c>
      <c r="T20" s="0" t="n">
        <f aca="false">R20/S20</f>
        <v>1.72E-007</v>
      </c>
      <c r="U20" s="0" t="n">
        <f aca="false">T20*1000000</f>
        <v>0.172</v>
      </c>
      <c r="W20" s="0" t="n">
        <v>0.3</v>
      </c>
      <c r="X20" s="0" t="n">
        <f aca="false">T20*1000000</f>
        <v>0.172</v>
      </c>
    </row>
    <row r="21" customFormat="false" ht="14.25" hidden="false" customHeight="false" outlineLevel="0" collapsed="false">
      <c r="B21" s="1" t="n">
        <v>575</v>
      </c>
      <c r="C21" s="0" t="n">
        <v>0.3</v>
      </c>
      <c r="D21" s="8" t="n">
        <v>1.72</v>
      </c>
      <c r="Q21" s="1" t="n">
        <v>575</v>
      </c>
      <c r="R21" s="8" t="n">
        <v>1.22</v>
      </c>
      <c r="S21" s="0" t="n">
        <v>10000000</v>
      </c>
      <c r="T21" s="0" t="n">
        <f aca="false">R21/S21</f>
        <v>1.22E-007</v>
      </c>
      <c r="U21" s="0" t="n">
        <f aca="false">T21*1000000</f>
        <v>0.122</v>
      </c>
      <c r="W21" s="0" t="n">
        <v>0.2</v>
      </c>
      <c r="X21" s="0" t="n">
        <f aca="false">T21*1000000</f>
        <v>0.122</v>
      </c>
    </row>
    <row r="22" customFormat="false" ht="14.25" hidden="false" customHeight="false" outlineLevel="0" collapsed="false">
      <c r="B22" s="1" t="n">
        <v>575</v>
      </c>
      <c r="C22" s="0" t="n">
        <v>0.2</v>
      </c>
      <c r="D22" s="8" t="n">
        <v>1.22</v>
      </c>
      <c r="Q22" s="1" t="n">
        <v>575</v>
      </c>
      <c r="R22" s="8" t="n">
        <v>0.82</v>
      </c>
      <c r="S22" s="0" t="n">
        <v>10000000</v>
      </c>
      <c r="T22" s="0" t="n">
        <f aca="false">R22/S22</f>
        <v>8.2E-008</v>
      </c>
      <c r="U22" s="0" t="n">
        <f aca="false">T22*1000000</f>
        <v>0.082</v>
      </c>
      <c r="W22" s="0" t="n">
        <v>0.1</v>
      </c>
      <c r="X22" s="0" t="n">
        <f aca="false">T22*1000000</f>
        <v>0.082</v>
      </c>
    </row>
    <row r="23" customFormat="false" ht="14.25" hidden="false" customHeight="false" outlineLevel="0" collapsed="false">
      <c r="B23" s="1" t="n">
        <v>575</v>
      </c>
      <c r="C23" s="0" t="n">
        <v>0.1</v>
      </c>
      <c r="D23" s="8" t="n">
        <v>0.82</v>
      </c>
      <c r="Q23" s="1" t="n">
        <v>575</v>
      </c>
      <c r="R23" s="8" t="n">
        <v>0.52</v>
      </c>
      <c r="S23" s="0" t="n">
        <v>10000000</v>
      </c>
      <c r="T23" s="0" t="n">
        <f aca="false">R23/S23</f>
        <v>5.2E-008</v>
      </c>
      <c r="U23" s="0" t="n">
        <f aca="false">T23*1000000</f>
        <v>0.052</v>
      </c>
      <c r="W23" s="0" t="n">
        <v>0</v>
      </c>
      <c r="X23" s="0" t="n">
        <f aca="false">T23*1000000</f>
        <v>0.052</v>
      </c>
    </row>
    <row r="24" customFormat="false" ht="14.25" hidden="false" customHeight="false" outlineLevel="0" collapsed="false">
      <c r="B24" s="1" t="n">
        <v>575</v>
      </c>
      <c r="C24" s="0" t="n">
        <v>0</v>
      </c>
      <c r="D24" s="8" t="n">
        <v>0.52</v>
      </c>
      <c r="Q24" s="1" t="n">
        <v>575</v>
      </c>
      <c r="R24" s="8" t="n">
        <v>0.29</v>
      </c>
      <c r="S24" s="0" t="n">
        <v>10000000</v>
      </c>
      <c r="T24" s="0" t="n">
        <f aca="false">R24/S24</f>
        <v>2.9E-008</v>
      </c>
      <c r="U24" s="0" t="n">
        <f aca="false">T24*1000000</f>
        <v>0.029</v>
      </c>
      <c r="W24" s="0" t="n">
        <v>-0.1</v>
      </c>
      <c r="X24" s="0" t="n">
        <f aca="false">T24*1000000</f>
        <v>0.029</v>
      </c>
    </row>
    <row r="25" customFormat="false" ht="14.25" hidden="false" customHeight="false" outlineLevel="0" collapsed="false">
      <c r="B25" s="1" t="n">
        <v>575</v>
      </c>
      <c r="C25" s="0" t="n">
        <v>-0.1</v>
      </c>
      <c r="D25" s="8" t="n">
        <v>0.29</v>
      </c>
      <c r="Q25" s="1" t="n">
        <v>575</v>
      </c>
      <c r="R25" s="8" t="n">
        <v>0.16</v>
      </c>
      <c r="S25" s="0" t="n">
        <v>10000000</v>
      </c>
      <c r="T25" s="0" t="n">
        <f aca="false">R25/S25</f>
        <v>1.6E-008</v>
      </c>
      <c r="U25" s="0" t="n">
        <f aca="false">T25*1000000</f>
        <v>0.016</v>
      </c>
      <c r="W25" s="0" t="n">
        <v>-0.2</v>
      </c>
      <c r="X25" s="0" t="n">
        <f aca="false">T25*1000000</f>
        <v>0.016</v>
      </c>
    </row>
    <row r="26" customFormat="false" ht="14.25" hidden="false" customHeight="false" outlineLevel="0" collapsed="false">
      <c r="B26" s="1" t="n">
        <v>575</v>
      </c>
      <c r="C26" s="0" t="n">
        <v>-0.2</v>
      </c>
      <c r="D26" s="8" t="n">
        <v>0.16</v>
      </c>
      <c r="Q26" s="1" t="n">
        <v>575</v>
      </c>
      <c r="R26" s="8" t="n">
        <v>0.12</v>
      </c>
      <c r="S26" s="0" t="n">
        <v>10000000</v>
      </c>
      <c r="T26" s="0" t="n">
        <f aca="false">R26/S26</f>
        <v>1.2E-008</v>
      </c>
      <c r="U26" s="0" t="n">
        <f aca="false">T26*1000000</f>
        <v>0.012</v>
      </c>
      <c r="W26" s="0" t="n">
        <v>-0.3</v>
      </c>
      <c r="X26" s="0" t="n">
        <f aca="false">T26*1000000</f>
        <v>0.012</v>
      </c>
    </row>
    <row r="27" customFormat="false" ht="14.25" hidden="false" customHeight="false" outlineLevel="0" collapsed="false">
      <c r="B27" s="1" t="n">
        <v>575</v>
      </c>
      <c r="C27" s="0" t="n">
        <v>-0.3</v>
      </c>
      <c r="D27" s="8" t="n">
        <v>0.12</v>
      </c>
      <c r="Q27" s="1" t="n">
        <v>575</v>
      </c>
      <c r="R27" s="8" t="n">
        <v>0.11</v>
      </c>
      <c r="S27" s="0" t="n">
        <v>10000000</v>
      </c>
      <c r="T27" s="0" t="n">
        <f aca="false">R27/S27</f>
        <v>1.1E-008</v>
      </c>
      <c r="U27" s="0" t="n">
        <f aca="false">T27*1000000</f>
        <v>0.011</v>
      </c>
      <c r="W27" s="0" t="n">
        <v>-0.4</v>
      </c>
      <c r="X27" s="0" t="n">
        <f aca="false">T27*1000000</f>
        <v>0.011</v>
      </c>
    </row>
    <row r="28" customFormat="false" ht="14.25" hidden="false" customHeight="false" outlineLevel="0" collapsed="false">
      <c r="B28" s="1" t="n">
        <v>575</v>
      </c>
      <c r="C28" s="0" t="n">
        <v>-0.4</v>
      </c>
      <c r="D28" s="8" t="n">
        <v>0.11</v>
      </c>
      <c r="Q28" s="1" t="n">
        <v>575</v>
      </c>
      <c r="R28" s="8" t="n">
        <v>0.11</v>
      </c>
      <c r="S28" s="0" t="n">
        <v>10000000</v>
      </c>
      <c r="T28" s="0" t="n">
        <f aca="false">R28/S28</f>
        <v>1.1E-008</v>
      </c>
      <c r="U28" s="0" t="n">
        <f aca="false">T28*1000000</f>
        <v>0.011</v>
      </c>
      <c r="W28" s="0" t="n">
        <v>-0.5</v>
      </c>
      <c r="X28" s="0" t="n">
        <f aca="false">T28*1000000</f>
        <v>0.011</v>
      </c>
    </row>
    <row r="29" customFormat="false" ht="14.25" hidden="false" customHeight="false" outlineLevel="0" collapsed="false">
      <c r="B29" s="1" t="n">
        <v>575</v>
      </c>
      <c r="C29" s="0" t="n">
        <v>-0.5</v>
      </c>
      <c r="D29" s="8" t="n">
        <v>0.11</v>
      </c>
      <c r="Q29" s="1" t="n">
        <v>575</v>
      </c>
      <c r="R29" s="8" t="n">
        <v>0.11</v>
      </c>
      <c r="S29" s="0" t="n">
        <v>10000000</v>
      </c>
      <c r="T29" s="0" t="n">
        <f aca="false">R29/S29</f>
        <v>1.1E-008</v>
      </c>
      <c r="U29" s="0" t="n">
        <f aca="false">T29*1000000</f>
        <v>0.011</v>
      </c>
      <c r="W29" s="0" t="n">
        <v>-0.6</v>
      </c>
      <c r="X29" s="0" t="n">
        <f aca="false">T29*1000000</f>
        <v>0.011</v>
      </c>
    </row>
    <row r="30" customFormat="false" ht="14.25" hidden="false" customHeight="false" outlineLevel="0" collapsed="false">
      <c r="B30" s="1" t="n">
        <v>575</v>
      </c>
      <c r="C30" s="0" t="n">
        <v>-0.6</v>
      </c>
      <c r="D30" s="8" t="n">
        <v>0.11</v>
      </c>
      <c r="Q30" s="1" t="n">
        <v>575</v>
      </c>
      <c r="R30" s="8" t="n">
        <v>0.11</v>
      </c>
      <c r="S30" s="0" t="n">
        <v>10000000</v>
      </c>
      <c r="T30" s="0" t="n">
        <f aca="false">R30/S30</f>
        <v>1.1E-008</v>
      </c>
      <c r="U30" s="0" t="n">
        <f aca="false">T30*1000000</f>
        <v>0.011</v>
      </c>
      <c r="W30" s="0" t="n">
        <v>-0.7</v>
      </c>
      <c r="X30" s="0" t="n">
        <f aca="false">T30*1000000</f>
        <v>0.011</v>
      </c>
    </row>
    <row r="31" customFormat="false" ht="14.25" hidden="false" customHeight="false" outlineLevel="0" collapsed="false">
      <c r="B31" s="1" t="n">
        <v>575</v>
      </c>
      <c r="C31" s="0" t="n">
        <v>-0.7</v>
      </c>
      <c r="D31" s="8" t="n">
        <v>0.11</v>
      </c>
      <c r="Q31" s="1" t="n">
        <v>575</v>
      </c>
      <c r="R31" s="8" t="n">
        <v>0.11</v>
      </c>
      <c r="S31" s="0" t="n">
        <v>10000000</v>
      </c>
      <c r="T31" s="0" t="n">
        <f aca="false">R31/S31</f>
        <v>1.1E-008</v>
      </c>
      <c r="U31" s="0" t="n">
        <f aca="false">T31*1000000</f>
        <v>0.011</v>
      </c>
      <c r="W31" s="0" t="n">
        <v>-0.8</v>
      </c>
      <c r="X31" s="0" t="n">
        <f aca="false">T31*1000000</f>
        <v>0.011</v>
      </c>
    </row>
    <row r="32" customFormat="false" ht="14.25" hidden="false" customHeight="false" outlineLevel="0" collapsed="false">
      <c r="B32" s="1" t="n">
        <v>575</v>
      </c>
      <c r="C32" s="0" t="n">
        <v>-0.8</v>
      </c>
      <c r="D32" s="8" t="n">
        <v>0.11</v>
      </c>
      <c r="Q32" s="1" t="n">
        <v>575</v>
      </c>
      <c r="R32" s="8" t="n">
        <v>0.11</v>
      </c>
      <c r="S32" s="0" t="n">
        <v>10000000</v>
      </c>
      <c r="T32" s="0" t="n">
        <f aca="false">R32/S32</f>
        <v>1.1E-008</v>
      </c>
      <c r="U32" s="0" t="n">
        <f aca="false">T32*1000000</f>
        <v>0.011</v>
      </c>
      <c r="W32" s="0" t="n">
        <v>-0.9</v>
      </c>
      <c r="X32" s="0" t="n">
        <f aca="false">T32*1000000</f>
        <v>0.011</v>
      </c>
    </row>
    <row r="33" customFormat="false" ht="14.25" hidden="false" customHeight="false" outlineLevel="0" collapsed="false">
      <c r="B33" s="1" t="n">
        <v>575</v>
      </c>
      <c r="C33" s="0" t="n">
        <v>-0.9</v>
      </c>
      <c r="D33" s="8" t="n">
        <v>0.11</v>
      </c>
      <c r="Q33" s="1" t="n">
        <v>575</v>
      </c>
      <c r="R33" s="8" t="n">
        <v>0.11</v>
      </c>
      <c r="S33" s="0" t="n">
        <v>10000000</v>
      </c>
      <c r="T33" s="0" t="n">
        <f aca="false">R33/S33</f>
        <v>1.1E-008</v>
      </c>
      <c r="U33" s="0" t="n">
        <f aca="false">T33*1000000</f>
        <v>0.011</v>
      </c>
      <c r="W33" s="0" t="n">
        <v>-1</v>
      </c>
      <c r="X33" s="0" t="n">
        <f aca="false">T33*1000000</f>
        <v>0.011</v>
      </c>
    </row>
    <row r="34" customFormat="false" ht="14.25" hidden="false" customHeight="false" outlineLevel="0" collapsed="false">
      <c r="B34" s="1" t="n">
        <v>575</v>
      </c>
      <c r="C34" s="0" t="n">
        <v>-1</v>
      </c>
      <c r="D34" s="8" t="n">
        <v>0.11</v>
      </c>
    </row>
  </sheetData>
  <printOptions headings="false" gridLines="false" gridLinesSet="true" horizontalCentered="false" verticalCentered="false"/>
  <pageMargins left="0" right="0" top="0.39375" bottom="0.39375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3:O49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RowHeight="14.25" zeroHeight="false" outlineLevelRow="0" outlineLevelCol="0"/>
  <cols>
    <col collapsed="false" customWidth="true" hidden="false" outlineLevel="0" max="1" min="1" style="0" width="10.62"/>
    <col collapsed="false" customWidth="true" hidden="false" outlineLevel="0" max="2" min="2" style="0" width="17.74"/>
    <col collapsed="false" customWidth="true" hidden="false" outlineLevel="0" max="3" min="3" style="0" width="20.13"/>
    <col collapsed="false" customWidth="true" hidden="false" outlineLevel="0" max="4" min="4" style="0" width="9.26"/>
    <col collapsed="false" customWidth="true" hidden="false" outlineLevel="0" max="5" min="5" style="0" width="13.13"/>
    <col collapsed="false" customWidth="true" hidden="false" outlineLevel="0" max="6" min="6" style="0" width="8.88"/>
    <col collapsed="false" customWidth="true" hidden="false" outlineLevel="0" max="7" min="7" style="0" width="9"/>
    <col collapsed="false" customWidth="true" hidden="false" outlineLevel="0" max="1025" min="8" style="0" width="8.61"/>
  </cols>
  <sheetData>
    <row r="3" customFormat="false" ht="14.25" hidden="false" customHeight="false" outlineLevel="0" collapsed="false">
      <c r="C3" s="0" t="s">
        <v>26</v>
      </c>
    </row>
    <row r="5" customFormat="false" ht="14.25" hidden="false" customHeight="false" outlineLevel="0" collapsed="false">
      <c r="B5" s="3" t="s">
        <v>10</v>
      </c>
      <c r="C5" s="13" t="s">
        <v>27</v>
      </c>
      <c r="G5" s="6" t="s">
        <v>10</v>
      </c>
      <c r="H5" s="7" t="s">
        <v>19</v>
      </c>
      <c r="I5" s="7" t="s">
        <v>20</v>
      </c>
      <c r="J5" s="7" t="s">
        <v>21</v>
      </c>
      <c r="K5" s="7" t="s">
        <v>22</v>
      </c>
      <c r="L5" s="7" t="s">
        <v>23</v>
      </c>
      <c r="M5" s="7" t="s">
        <v>24</v>
      </c>
      <c r="N5" s="2"/>
    </row>
    <row r="6" customFormat="false" ht="14.25" hidden="false" customHeight="false" outlineLevel="0" collapsed="false">
      <c r="B6" s="9" t="n">
        <v>400</v>
      </c>
      <c r="C6" s="14" t="n">
        <f aca="false">(3*10^8)/(B6*10^-9)</f>
        <v>750000000000000</v>
      </c>
      <c r="D6" s="15" t="n">
        <f aca="false">C6*10^-14</f>
        <v>7.5</v>
      </c>
      <c r="G6" s="9" t="n">
        <v>400</v>
      </c>
      <c r="H6" s="10" t="n">
        <v>-1.07</v>
      </c>
      <c r="I6" s="10" t="n">
        <v>-1.11</v>
      </c>
      <c r="J6" s="10" t="n">
        <v>-1.25</v>
      </c>
      <c r="K6" s="10" t="n">
        <v>-1.17</v>
      </c>
      <c r="L6" s="10" t="n">
        <v>-1.21</v>
      </c>
      <c r="M6" s="11" t="n">
        <f aca="false">SUM(H6:L6)/5</f>
        <v>-1.162</v>
      </c>
      <c r="N6" s="12" t="n">
        <f aca="false">M6*-1</f>
        <v>1.162</v>
      </c>
    </row>
    <row r="7" customFormat="false" ht="14.25" hidden="false" customHeight="false" outlineLevel="0" collapsed="false">
      <c r="B7" s="9" t="n">
        <v>425</v>
      </c>
      <c r="C7" s="14" t="n">
        <f aca="false">(3*10^8)/(B7*10^-9)</f>
        <v>705882352941177</v>
      </c>
      <c r="D7" s="15" t="n">
        <f aca="false">C7*10^-14</f>
        <v>7.05882352941177</v>
      </c>
      <c r="G7" s="9" t="n">
        <v>425</v>
      </c>
      <c r="H7" s="10" t="n">
        <v>-1</v>
      </c>
      <c r="I7" s="10" t="n">
        <v>-1.03</v>
      </c>
      <c r="J7" s="10" t="n">
        <v>-1.02</v>
      </c>
      <c r="K7" s="10" t="n">
        <v>-0.99</v>
      </c>
      <c r="L7" s="10" t="n">
        <v>-1.03</v>
      </c>
      <c r="M7" s="11" t="n">
        <f aca="false">SUM(H7:L7)/5</f>
        <v>-1.014</v>
      </c>
      <c r="N7" s="12" t="n">
        <f aca="false">M7*-1</f>
        <v>1.014</v>
      </c>
    </row>
    <row r="8" customFormat="false" ht="14.25" hidden="false" customHeight="false" outlineLevel="0" collapsed="false">
      <c r="B8" s="9" t="n">
        <v>436</v>
      </c>
      <c r="C8" s="16" t="n">
        <f aca="false">(3*10^8)/(B8*10^-9)</f>
        <v>688073394495413</v>
      </c>
      <c r="D8" s="15" t="n">
        <f aca="false">C8*10^-14</f>
        <v>6.88073394495413</v>
      </c>
      <c r="G8" s="9" t="n">
        <v>436</v>
      </c>
      <c r="H8" s="10" t="n">
        <v>-0.87</v>
      </c>
      <c r="I8" s="10" t="n">
        <v>-0.76</v>
      </c>
      <c r="J8" s="10" t="n">
        <v>-0.85</v>
      </c>
      <c r="K8" s="10" t="n">
        <v>-0.88</v>
      </c>
      <c r="L8" s="10" t="n">
        <v>-0.86</v>
      </c>
      <c r="M8" s="11" t="n">
        <f aca="false">SUM(H8:L8)/5</f>
        <v>-0.844</v>
      </c>
      <c r="N8" s="12" t="n">
        <f aca="false">M8*-1</f>
        <v>0.844</v>
      </c>
    </row>
    <row r="9" customFormat="false" ht="14.25" hidden="false" customHeight="false" outlineLevel="0" collapsed="false">
      <c r="B9" s="9" t="n">
        <v>500</v>
      </c>
      <c r="C9" s="14" t="n">
        <f aca="false">(3*10^8)/(B9*10^-9)</f>
        <v>600000000000000</v>
      </c>
      <c r="D9" s="15" t="n">
        <f aca="false">C9*10^-14</f>
        <v>6</v>
      </c>
      <c r="G9" s="9" t="n">
        <v>500</v>
      </c>
      <c r="H9" s="10" t="n">
        <v>-0.65</v>
      </c>
      <c r="I9" s="10" t="n">
        <v>-0.62</v>
      </c>
      <c r="J9" s="10" t="n">
        <v>-0.7</v>
      </c>
      <c r="K9" s="10" t="n">
        <v>-0.69</v>
      </c>
      <c r="L9" s="10" t="n">
        <v>-0.62</v>
      </c>
      <c r="M9" s="11" t="n">
        <f aca="false">SUM(H9:L9)/5</f>
        <v>-0.656</v>
      </c>
      <c r="N9" s="12" t="n">
        <f aca="false">M9*-1</f>
        <v>0.656</v>
      </c>
    </row>
    <row r="10" customFormat="false" ht="14.25" hidden="false" customHeight="false" outlineLevel="0" collapsed="false">
      <c r="B10" s="9" t="n">
        <v>550</v>
      </c>
      <c r="C10" s="14" t="n">
        <f aca="false">(3*10^8)/(B10*10^-9)</f>
        <v>545454545454545</v>
      </c>
      <c r="D10" s="15" t="n">
        <f aca="false">C10*10^-14</f>
        <v>5.45454545454545</v>
      </c>
      <c r="G10" s="9" t="n">
        <v>550</v>
      </c>
      <c r="H10" s="10" t="n">
        <v>-0.44</v>
      </c>
      <c r="I10" s="10" t="n">
        <v>-0.46</v>
      </c>
      <c r="J10" s="10" t="n">
        <v>-0.45</v>
      </c>
      <c r="K10" s="10" t="n">
        <v>-0.39</v>
      </c>
      <c r="L10" s="10" t="n">
        <v>-0.41</v>
      </c>
      <c r="M10" s="11" t="n">
        <f aca="false">SUM(H10:L10)/5</f>
        <v>-0.43</v>
      </c>
      <c r="N10" s="12" t="n">
        <f aca="false">M10*-1</f>
        <v>0.43</v>
      </c>
    </row>
    <row r="11" customFormat="false" ht="14.25" hidden="false" customHeight="false" outlineLevel="0" collapsed="false">
      <c r="B11" s="9" t="n">
        <v>575</v>
      </c>
      <c r="C11" s="14" t="n">
        <f aca="false">(3*10^8)/(B11*10^-9)</f>
        <v>521739130434783</v>
      </c>
      <c r="D11" s="15" t="n">
        <f aca="false">C11*10^-14</f>
        <v>5.21739130434783</v>
      </c>
      <c r="G11" s="9" t="n">
        <v>575</v>
      </c>
      <c r="H11" s="10" t="n">
        <v>-0.33</v>
      </c>
      <c r="I11" s="10" t="n">
        <v>-0.34</v>
      </c>
      <c r="J11" s="10" t="n">
        <v>-0.37</v>
      </c>
      <c r="K11" s="10" t="n">
        <v>-0.36</v>
      </c>
      <c r="L11" s="10" t="n">
        <v>-0.34</v>
      </c>
      <c r="M11" s="11" t="n">
        <f aca="false">SUM(H11:L11)/5</f>
        <v>-0.348</v>
      </c>
      <c r="N11" s="12" t="n">
        <f aca="false">M11*-1</f>
        <v>0.348</v>
      </c>
    </row>
    <row r="12" customFormat="false" ht="14.25" hidden="false" customHeight="false" outlineLevel="0" collapsed="false">
      <c r="B12" s="9" t="n">
        <v>600</v>
      </c>
      <c r="C12" s="14" t="n">
        <f aca="false">(3*10^8)/(B12*10^-9)</f>
        <v>500000000000000</v>
      </c>
      <c r="D12" s="15" t="n">
        <f aca="false">C12*10^-14</f>
        <v>5</v>
      </c>
      <c r="G12" s="9" t="n">
        <v>600</v>
      </c>
      <c r="H12" s="10" t="n">
        <v>-0.22</v>
      </c>
      <c r="I12" s="10" t="n">
        <v>-0.24</v>
      </c>
      <c r="J12" s="10" t="n">
        <v>-0.27</v>
      </c>
      <c r="K12" s="10" t="n">
        <v>-0.23</v>
      </c>
      <c r="L12" s="10" t="n">
        <v>-0.25</v>
      </c>
      <c r="M12" s="11" t="n">
        <f aca="false">SUM(H12:L12)/5</f>
        <v>-0.242</v>
      </c>
      <c r="N12" s="12" t="n">
        <f aca="false">M12*-1</f>
        <v>0.242</v>
      </c>
    </row>
    <row r="13" customFormat="false" ht="14.25" hidden="false" customHeight="false" outlineLevel="0" collapsed="false">
      <c r="B13" s="9" t="n">
        <v>625</v>
      </c>
      <c r="C13" s="14" t="n">
        <f aca="false">(3*10^8)/(B13*10^-9)</f>
        <v>480000000000000</v>
      </c>
      <c r="D13" s="15" t="n">
        <f aca="false">C13*10^-14</f>
        <v>4.8</v>
      </c>
      <c r="G13" s="9" t="n">
        <v>625</v>
      </c>
      <c r="H13" s="10" t="n">
        <v>-0.15</v>
      </c>
      <c r="I13" s="10" t="n">
        <v>-0.13</v>
      </c>
      <c r="J13" s="10" t="n">
        <v>-0.17</v>
      </c>
      <c r="K13" s="10" t="n">
        <v>-0.15</v>
      </c>
      <c r="L13" s="10" t="n">
        <v>-0.13</v>
      </c>
      <c r="M13" s="11" t="n">
        <f aca="false">SUM(H13:L13)/5</f>
        <v>-0.146</v>
      </c>
      <c r="N13" s="12" t="n">
        <f aca="false">M13*-1</f>
        <v>0.146</v>
      </c>
    </row>
    <row r="14" customFormat="false" ht="14.25" hidden="false" customHeight="false" outlineLevel="0" collapsed="false">
      <c r="B14" s="9" t="n">
        <v>650</v>
      </c>
      <c r="C14" s="14" t="n">
        <f aca="false">(3*10^8)/(B14*10^-9)</f>
        <v>461538461538462</v>
      </c>
      <c r="D14" s="15" t="n">
        <f aca="false">C14*10^-14</f>
        <v>4.61538461538462</v>
      </c>
      <c r="G14" s="9" t="n">
        <v>650</v>
      </c>
      <c r="H14" s="10" t="n">
        <v>-0.1</v>
      </c>
      <c r="I14" s="10" t="n">
        <v>-0.12</v>
      </c>
      <c r="J14" s="10" t="n">
        <v>-0.14</v>
      </c>
      <c r="K14" s="10" t="n">
        <v>-0.13</v>
      </c>
      <c r="L14" s="10" t="n">
        <v>-0.11</v>
      </c>
      <c r="M14" s="11" t="n">
        <f aca="false">SUM(H14:L14)/5</f>
        <v>-0.12</v>
      </c>
      <c r="N14" s="12" t="n">
        <f aca="false">M14*-1</f>
        <v>0.12</v>
      </c>
    </row>
    <row r="15" customFormat="false" ht="14.25" hidden="false" customHeight="false" outlineLevel="0" collapsed="false">
      <c r="B15" s="9" t="n">
        <v>675</v>
      </c>
      <c r="C15" s="14" t="n">
        <f aca="false">(3*10^8)/(B15*10^-9)</f>
        <v>444444444444444</v>
      </c>
      <c r="D15" s="15" t="n">
        <f aca="false">C15*10^-14</f>
        <v>4.44444444444444</v>
      </c>
      <c r="G15" s="9" t="n">
        <v>675</v>
      </c>
      <c r="H15" s="10" t="n">
        <v>-0.07</v>
      </c>
      <c r="I15" s="10" t="n">
        <v>-0.06</v>
      </c>
      <c r="J15" s="10" t="n">
        <v>-0.08</v>
      </c>
      <c r="K15" s="10" t="n">
        <v>-0.07</v>
      </c>
      <c r="L15" s="10" t="n">
        <v>-0.06</v>
      </c>
      <c r="M15" s="11" t="n">
        <f aca="false">SUM(H15:L15)/5</f>
        <v>-0.068</v>
      </c>
      <c r="N15" s="12" t="n">
        <f aca="false">M15*-1</f>
        <v>0.068</v>
      </c>
    </row>
    <row r="20" customFormat="false" ht="18" hidden="false" customHeight="false" outlineLevel="0" collapsed="false">
      <c r="L20" s="0" t="s">
        <v>28</v>
      </c>
      <c r="M20" s="0" t="n">
        <f aca="false">N20*O20</f>
        <v>9.6489</v>
      </c>
      <c r="N20" s="17" t="n">
        <v>2.718</v>
      </c>
      <c r="O20" s="0" t="n">
        <v>3.55</v>
      </c>
    </row>
    <row r="37" customFormat="false" ht="14.25" hidden="false" customHeight="false" outlineLevel="0" collapsed="false">
      <c r="B37" s="0" t="s">
        <v>29</v>
      </c>
      <c r="E37" s="18" t="s">
        <v>30</v>
      </c>
    </row>
    <row r="39" customFormat="false" ht="14.25" hidden="false" customHeight="false" outlineLevel="0" collapsed="false">
      <c r="B39" s="0" t="n">
        <f aca="false">(3.5374*10^-15)*(1.6021892*10^-19)</f>
        <v>5.66758407608E-034</v>
      </c>
      <c r="E39" s="0" t="n">
        <f aca="false">F41*1.6021892*10^-19</f>
        <v>-2.41899662970332E-019</v>
      </c>
    </row>
    <row r="41" customFormat="false" ht="14.25" hidden="false" customHeight="false" outlineLevel="0" collapsed="false">
      <c r="B41" s="19" t="s">
        <v>31</v>
      </c>
      <c r="C41" s="19" t="s">
        <v>32</v>
      </c>
      <c r="E41" s="0" t="s">
        <v>33</v>
      </c>
      <c r="F41" s="0" t="n">
        <v>-1.5098071</v>
      </c>
    </row>
    <row r="42" customFormat="false" ht="14.25" hidden="false" customHeight="false" outlineLevel="0" collapsed="false">
      <c r="B42" s="0" t="s">
        <v>34</v>
      </c>
      <c r="C42" s="0" t="s">
        <v>35</v>
      </c>
      <c r="E42" s="0" t="s">
        <v>34</v>
      </c>
      <c r="F42" s="0" t="s">
        <v>35</v>
      </c>
    </row>
    <row r="44" customFormat="false" ht="14.25" hidden="false" customHeight="false" outlineLevel="0" collapsed="false">
      <c r="B44" s="0" t="s">
        <v>36</v>
      </c>
      <c r="E44" s="0" t="s">
        <v>37</v>
      </c>
    </row>
    <row r="45" customFormat="false" ht="14.25" hidden="false" customHeight="false" outlineLevel="0" collapsed="false">
      <c r="B45" s="0" t="s">
        <v>38</v>
      </c>
      <c r="E45" s="0" t="n">
        <v>0.3028275</v>
      </c>
    </row>
    <row r="48" customFormat="false" ht="14.25" hidden="false" customHeight="false" outlineLevel="0" collapsed="false">
      <c r="B48" s="0" t="s">
        <v>39</v>
      </c>
      <c r="E48" s="0" t="s">
        <v>40</v>
      </c>
    </row>
    <row r="49" customFormat="false" ht="14.25" hidden="false" customHeight="false" outlineLevel="0" collapsed="false">
      <c r="B49" s="20" t="n">
        <f aca="false">(1/1.6021892*10^-19)*5.9981*10^-17</f>
        <v>3.74369019588947E-036</v>
      </c>
      <c r="E49" s="0" t="n">
        <f aca="false">(1/1.6021892*10^-19)*(0.3028275)</f>
        <v>1.89008576515183E-020</v>
      </c>
    </row>
  </sheetData>
  <printOptions headings="false" gridLines="false" gridLinesSet="true" horizontalCentered="false" verticalCentered="false"/>
  <pageMargins left="0" right="0" top="0.39375" bottom="0.39375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44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R30" activeCellId="0" sqref="R30"/>
    </sheetView>
  </sheetViews>
  <sheetFormatPr defaultRowHeight="12.8" zeroHeight="false" outlineLevelRow="0" outlineLevelCol="0"/>
  <cols>
    <col collapsed="false" customWidth="true" hidden="false" outlineLevel="0" max="5" min="1" style="0" width="9.3"/>
    <col collapsed="false" customWidth="true" hidden="false" outlineLevel="0" max="6" min="6" style="0" width="2.82"/>
    <col collapsed="false" customWidth="true" hidden="false" outlineLevel="0" max="15" min="7" style="0" width="9.3"/>
    <col collapsed="false" customWidth="true" hidden="false" outlineLevel="0" max="1025" min="16" style="0" width="10.5"/>
  </cols>
  <sheetData>
    <row r="1" customFormat="false" ht="12.8" hidden="false" customHeight="false" outlineLevel="0" collapsed="false">
      <c r="D1" s="21"/>
    </row>
    <row r="2" customFormat="false" ht="12.8" hidden="false" customHeight="false" outlineLevel="0" collapsed="false">
      <c r="D2" s="21"/>
    </row>
    <row r="3" customFormat="false" ht="12.8" hidden="false" customHeight="false" outlineLevel="0" collapsed="false">
      <c r="A3" s="21"/>
      <c r="B3" s="21"/>
      <c r="C3" s="21"/>
      <c r="D3" s="21"/>
      <c r="E3" s="21"/>
      <c r="F3" s="21"/>
      <c r="G3" s="21"/>
      <c r="H3" s="21"/>
      <c r="I3" s="21"/>
      <c r="J3" s="21"/>
    </row>
    <row r="4" customFormat="false" ht="13.8" hidden="false" customHeight="false" outlineLevel="0" collapsed="false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customFormat="false" ht="13.8" hidden="false" customHeight="false" outlineLevel="0" collapsed="false">
      <c r="A5" s="21"/>
      <c r="B5" s="22" t="s">
        <v>41</v>
      </c>
      <c r="C5" s="22" t="s">
        <v>42</v>
      </c>
      <c r="D5" s="22" t="s">
        <v>43</v>
      </c>
      <c r="E5" s="23" t="s">
        <v>44</v>
      </c>
      <c r="F5" s="21"/>
      <c r="G5" s="22" t="s">
        <v>41</v>
      </c>
      <c r="H5" s="22" t="s">
        <v>42</v>
      </c>
      <c r="I5" s="22" t="s">
        <v>43</v>
      </c>
      <c r="J5" s="23" t="s">
        <v>44</v>
      </c>
      <c r="K5" s="21"/>
      <c r="L5" s="21"/>
    </row>
    <row r="6" customFormat="false" ht="13.8" hidden="false" customHeight="false" outlineLevel="0" collapsed="false">
      <c r="A6" s="21"/>
      <c r="B6" s="24" t="n">
        <v>0</v>
      </c>
      <c r="C6" s="24" t="n">
        <v>67.4</v>
      </c>
      <c r="D6" s="24" t="n">
        <v>0.0481428571428571</v>
      </c>
      <c r="E6" s="24" t="n">
        <v>0</v>
      </c>
      <c r="F6" s="21"/>
      <c r="G6" s="24" t="n">
        <v>0</v>
      </c>
      <c r="H6" s="24" t="n">
        <v>69.6</v>
      </c>
      <c r="I6" s="24" t="n">
        <v>0.0497142857142857</v>
      </c>
      <c r="J6" s="24" t="n">
        <v>0</v>
      </c>
      <c r="K6" s="21"/>
      <c r="L6" s="21"/>
    </row>
    <row r="7" customFormat="false" ht="13.8" hidden="false" customHeight="false" outlineLevel="0" collapsed="false">
      <c r="A7" s="21"/>
      <c r="B7" s="24" t="n">
        <v>0.2</v>
      </c>
      <c r="C7" s="24" t="n">
        <v>70.9</v>
      </c>
      <c r="D7" s="24" t="n">
        <v>0.0506428571428571</v>
      </c>
      <c r="E7" s="24" t="n">
        <v>120</v>
      </c>
      <c r="F7" s="21"/>
      <c r="G7" s="24" t="n">
        <v>0.2</v>
      </c>
      <c r="H7" s="24" t="n">
        <v>53.3</v>
      </c>
      <c r="I7" s="24" t="n">
        <v>0.0380714285714286</v>
      </c>
      <c r="J7" s="24" t="n">
        <v>-120</v>
      </c>
      <c r="K7" s="21"/>
      <c r="L7" s="21"/>
    </row>
    <row r="8" customFormat="false" ht="13.8" hidden="false" customHeight="false" outlineLevel="0" collapsed="false">
      <c r="A8" s="21"/>
      <c r="B8" s="24" t="n">
        <v>0.4</v>
      </c>
      <c r="C8" s="24" t="n">
        <v>75.1</v>
      </c>
      <c r="D8" s="24" t="n">
        <v>0.0536428571428571</v>
      </c>
      <c r="E8" s="24" t="n">
        <v>240</v>
      </c>
      <c r="F8" s="21"/>
      <c r="G8" s="24" t="n">
        <v>0.4</v>
      </c>
      <c r="H8" s="24" t="n">
        <v>34.7</v>
      </c>
      <c r="I8" s="24" t="n">
        <v>0.0247857142857143</v>
      </c>
      <c r="J8" s="24" t="n">
        <v>-240</v>
      </c>
      <c r="K8" s="21"/>
      <c r="L8" s="21"/>
    </row>
    <row r="9" customFormat="false" ht="13.8" hidden="false" customHeight="false" outlineLevel="0" collapsed="false">
      <c r="A9" s="21"/>
      <c r="B9" s="24" t="n">
        <v>0.6</v>
      </c>
      <c r="C9" s="24" t="n">
        <v>79.3</v>
      </c>
      <c r="D9" s="24" t="n">
        <v>0.0566428571428571</v>
      </c>
      <c r="E9" s="24" t="n">
        <v>360</v>
      </c>
      <c r="F9" s="21"/>
      <c r="G9" s="24" t="n">
        <v>0.6</v>
      </c>
      <c r="H9" s="24" t="n">
        <v>14.3</v>
      </c>
      <c r="I9" s="24" t="n">
        <v>0.0102142857142857</v>
      </c>
      <c r="J9" s="24" t="n">
        <v>-360</v>
      </c>
      <c r="K9" s="21"/>
      <c r="L9" s="21"/>
      <c r="M9" s="21"/>
      <c r="N9" s="21"/>
      <c r="O9" s="21"/>
      <c r="P9" s="21"/>
    </row>
    <row r="10" customFormat="false" ht="13.8" hidden="false" customHeight="false" outlineLevel="0" collapsed="false">
      <c r="A10" s="21"/>
      <c r="B10" s="24" t="n">
        <v>0.8</v>
      </c>
      <c r="C10" s="24" t="n">
        <v>84.6</v>
      </c>
      <c r="D10" s="24" t="n">
        <v>0.0604285714285714</v>
      </c>
      <c r="E10" s="24" t="n">
        <v>480</v>
      </c>
      <c r="F10" s="21"/>
      <c r="G10" s="24" t="n">
        <v>0.8</v>
      </c>
      <c r="H10" s="24" t="n">
        <v>-2.5</v>
      </c>
      <c r="I10" s="24" t="n">
        <v>-0.00178571428571429</v>
      </c>
      <c r="J10" s="24" t="n">
        <v>-480</v>
      </c>
      <c r="K10" s="21"/>
      <c r="L10" s="21"/>
      <c r="M10" s="21"/>
      <c r="N10" s="21"/>
      <c r="O10" s="21"/>
      <c r="P10" s="21"/>
    </row>
    <row r="11" customFormat="false" ht="13.8" hidden="false" customHeight="false" outlineLevel="0" collapsed="false">
      <c r="A11" s="21"/>
      <c r="B11" s="24" t="n">
        <v>1</v>
      </c>
      <c r="C11" s="24" t="n">
        <v>89.6</v>
      </c>
      <c r="D11" s="24" t="n">
        <v>0.064</v>
      </c>
      <c r="E11" s="24" t="n">
        <v>600</v>
      </c>
      <c r="F11" s="21"/>
      <c r="G11" s="24" t="n">
        <v>1</v>
      </c>
      <c r="H11" s="24" t="n">
        <v>-18</v>
      </c>
      <c r="I11" s="24" t="n">
        <v>-0.0128571428571429</v>
      </c>
      <c r="J11" s="24" t="n">
        <v>-600</v>
      </c>
      <c r="K11" s="21"/>
      <c r="L11" s="21"/>
      <c r="M11" s="21"/>
      <c r="N11" s="21"/>
      <c r="O11" s="21"/>
      <c r="P11" s="21"/>
    </row>
    <row r="12" customFormat="false" ht="13.8" hidden="false" customHeight="false" outlineLevel="0" collapsed="false">
      <c r="A12" s="21"/>
      <c r="B12" s="24" t="n">
        <v>1.2</v>
      </c>
      <c r="C12" s="24" t="n">
        <v>98.9</v>
      </c>
      <c r="D12" s="24" t="n">
        <v>0.0706428571428571</v>
      </c>
      <c r="E12" s="24" t="n">
        <v>720</v>
      </c>
      <c r="F12" s="21"/>
      <c r="G12" s="24" t="n">
        <v>1.2</v>
      </c>
      <c r="H12" s="24" t="n">
        <v>-34.5</v>
      </c>
      <c r="I12" s="24" t="n">
        <v>-0.0246428571428571</v>
      </c>
      <c r="J12" s="24" t="n">
        <v>-720</v>
      </c>
      <c r="K12" s="21"/>
      <c r="L12" s="22" t="s">
        <v>41</v>
      </c>
      <c r="M12" s="22" t="s">
        <v>42</v>
      </c>
      <c r="N12" s="22" t="s">
        <v>43</v>
      </c>
      <c r="O12" s="23" t="s">
        <v>44</v>
      </c>
      <c r="P12" s="21"/>
    </row>
    <row r="13" customFormat="false" ht="13.8" hidden="false" customHeight="false" outlineLevel="0" collapsed="false">
      <c r="A13" s="21"/>
      <c r="B13" s="24" t="n">
        <v>1.4</v>
      </c>
      <c r="C13" s="24" t="n">
        <v>102.9</v>
      </c>
      <c r="D13" s="24" t="n">
        <v>0.0735</v>
      </c>
      <c r="E13" s="24" t="n">
        <v>840</v>
      </c>
      <c r="F13" s="21"/>
      <c r="G13" s="24" t="n">
        <v>1.4</v>
      </c>
      <c r="H13" s="24" t="n">
        <v>-51.7</v>
      </c>
      <c r="I13" s="24" t="n">
        <v>-0.0369285714285714</v>
      </c>
      <c r="J13" s="24" t="n">
        <v>-840</v>
      </c>
      <c r="K13" s="21"/>
      <c r="L13" s="24" t="n">
        <v>0</v>
      </c>
      <c r="M13" s="24" t="n">
        <v>-74.9</v>
      </c>
      <c r="N13" s="24" t="n">
        <v>-0.0535</v>
      </c>
      <c r="O13" s="24" t="n">
        <v>0</v>
      </c>
      <c r="P13" s="21"/>
    </row>
    <row r="14" customFormat="false" ht="13.8" hidden="false" customHeight="false" outlineLevel="0" collapsed="false">
      <c r="A14" s="21"/>
      <c r="B14" s="24" t="n">
        <v>1.6</v>
      </c>
      <c r="C14" s="24" t="n">
        <v>109.2</v>
      </c>
      <c r="D14" s="24" t="n">
        <v>0.078</v>
      </c>
      <c r="E14" s="24" t="n">
        <v>960</v>
      </c>
      <c r="F14" s="21"/>
      <c r="G14" s="24" t="n">
        <v>1.6</v>
      </c>
      <c r="H14" s="24" t="n">
        <v>-73.1</v>
      </c>
      <c r="I14" s="24" t="n">
        <v>-0.0522142857142857</v>
      </c>
      <c r="J14" s="24" t="n">
        <v>-960</v>
      </c>
      <c r="K14" s="21"/>
      <c r="L14" s="24" t="n">
        <v>0.2</v>
      </c>
      <c r="M14" s="24" t="n">
        <v>-58.8</v>
      </c>
      <c r="N14" s="24" t="n">
        <v>-0.042</v>
      </c>
      <c r="O14" s="24" t="n">
        <v>120</v>
      </c>
      <c r="P14" s="21"/>
    </row>
    <row r="15" customFormat="false" ht="13.8" hidden="false" customHeight="false" outlineLevel="0" collapsed="false">
      <c r="A15" s="21"/>
      <c r="B15" s="24" t="n">
        <v>1.8</v>
      </c>
      <c r="C15" s="24" t="n">
        <v>116.3</v>
      </c>
      <c r="D15" s="24" t="n">
        <v>0.0830714285714286</v>
      </c>
      <c r="E15" s="24" t="n">
        <v>1080</v>
      </c>
      <c r="F15" s="21"/>
      <c r="G15" s="24" t="n">
        <v>1.8</v>
      </c>
      <c r="H15" s="24" t="n">
        <v>-87.4</v>
      </c>
      <c r="I15" s="24" t="n">
        <v>-0.0624285714285714</v>
      </c>
      <c r="J15" s="24" t="n">
        <v>-1080</v>
      </c>
      <c r="K15" s="21"/>
      <c r="L15" s="24" t="n">
        <v>0.4</v>
      </c>
      <c r="M15" s="24" t="n">
        <v>-41</v>
      </c>
      <c r="N15" s="24" t="n">
        <v>-0.0292857142857143</v>
      </c>
      <c r="O15" s="24" t="n">
        <v>240</v>
      </c>
      <c r="P15" s="21"/>
    </row>
    <row r="16" customFormat="false" ht="13.8" hidden="false" customHeight="false" outlineLevel="0" collapsed="false">
      <c r="A16" s="21"/>
      <c r="B16" s="24" t="n">
        <v>2</v>
      </c>
      <c r="C16" s="24" t="n">
        <v>123.9</v>
      </c>
      <c r="D16" s="24" t="n">
        <v>0.0885</v>
      </c>
      <c r="E16" s="24" t="n">
        <v>1200</v>
      </c>
      <c r="F16" s="21"/>
      <c r="G16" s="24" t="n">
        <v>2</v>
      </c>
      <c r="H16" s="24" t="n">
        <v>-104.7</v>
      </c>
      <c r="I16" s="24" t="n">
        <v>-0.0747857142857143</v>
      </c>
      <c r="J16" s="24" t="n">
        <v>-1200</v>
      </c>
      <c r="K16" s="21"/>
      <c r="L16" s="24" t="n">
        <v>0.6</v>
      </c>
      <c r="M16" s="24" t="n">
        <v>-22.5</v>
      </c>
      <c r="N16" s="24" t="n">
        <v>-0.0160714285714286</v>
      </c>
      <c r="O16" s="24" t="n">
        <v>360</v>
      </c>
      <c r="P16" s="21"/>
    </row>
    <row r="17" customFormat="false" ht="13.8" hidden="false" customHeight="false" outlineLevel="0" collapsed="false">
      <c r="A17" s="21"/>
      <c r="B17" s="24" t="n">
        <v>2.2</v>
      </c>
      <c r="C17" s="24" t="n">
        <v>132.5</v>
      </c>
      <c r="D17" s="24" t="n">
        <v>0.0946428571428571</v>
      </c>
      <c r="E17" s="24" t="n">
        <v>1320</v>
      </c>
      <c r="F17" s="21"/>
      <c r="G17" s="24" t="n">
        <v>2.2</v>
      </c>
      <c r="H17" s="24" t="n">
        <v>-124.2</v>
      </c>
      <c r="I17" s="24" t="n">
        <v>-0.0887142857142857</v>
      </c>
      <c r="J17" s="24" t="n">
        <v>-1320</v>
      </c>
      <c r="K17" s="21"/>
      <c r="L17" s="24" t="n">
        <v>0.8</v>
      </c>
      <c r="M17" s="24" t="n">
        <v>-4.7</v>
      </c>
      <c r="N17" s="24" t="n">
        <v>-0.00335714285714286</v>
      </c>
      <c r="O17" s="24" t="n">
        <v>480</v>
      </c>
      <c r="P17" s="21"/>
    </row>
    <row r="18" customFormat="false" ht="13.8" hidden="false" customHeight="false" outlineLevel="0" collapsed="false">
      <c r="A18" s="21"/>
      <c r="B18" s="24" t="n">
        <v>2.4</v>
      </c>
      <c r="C18" s="24" t="n">
        <v>139.5</v>
      </c>
      <c r="D18" s="24" t="n">
        <v>0.0996428571428571</v>
      </c>
      <c r="E18" s="24" t="n">
        <v>1440</v>
      </c>
      <c r="F18" s="21"/>
      <c r="G18" s="24" t="n">
        <v>2.4</v>
      </c>
      <c r="H18" s="24" t="n">
        <v>-135.2</v>
      </c>
      <c r="I18" s="24" t="n">
        <v>-0.0965714285714286</v>
      </c>
      <c r="J18" s="24" t="n">
        <v>-1440</v>
      </c>
      <c r="K18" s="21"/>
      <c r="L18" s="24" t="n">
        <v>1</v>
      </c>
      <c r="M18" s="24" t="n">
        <v>10.5</v>
      </c>
      <c r="N18" s="24" t="n">
        <v>0.0075</v>
      </c>
      <c r="O18" s="24" t="n">
        <v>600</v>
      </c>
      <c r="P18" s="21"/>
    </row>
    <row r="19" customFormat="false" ht="13.8" hidden="false" customHeight="false" outlineLevel="0" collapsed="false">
      <c r="A19" s="21"/>
      <c r="B19" s="24" t="n">
        <v>2.6</v>
      </c>
      <c r="C19" s="24" t="n">
        <v>147</v>
      </c>
      <c r="D19" s="24" t="n">
        <v>0.105</v>
      </c>
      <c r="E19" s="24" t="n">
        <v>1560</v>
      </c>
      <c r="F19" s="21"/>
      <c r="G19" s="24" t="n">
        <v>2.6</v>
      </c>
      <c r="H19" s="24" t="n">
        <v>-148.7</v>
      </c>
      <c r="I19" s="24" t="n">
        <v>-0.106214285714286</v>
      </c>
      <c r="J19" s="24" t="n">
        <v>-1560</v>
      </c>
      <c r="K19" s="21"/>
      <c r="L19" s="24" t="n">
        <v>1.2</v>
      </c>
      <c r="M19" s="24" t="n">
        <v>27.4</v>
      </c>
      <c r="N19" s="24" t="n">
        <v>0.0195714285714286</v>
      </c>
      <c r="O19" s="24" t="n">
        <v>720</v>
      </c>
      <c r="P19" s="21"/>
    </row>
    <row r="20" customFormat="false" ht="13.8" hidden="false" customHeight="false" outlineLevel="0" collapsed="false">
      <c r="A20" s="21"/>
      <c r="B20" s="24" t="n">
        <v>2.8</v>
      </c>
      <c r="C20" s="24" t="n">
        <v>156.5</v>
      </c>
      <c r="D20" s="24" t="n">
        <v>0.111785714285714</v>
      </c>
      <c r="E20" s="24" t="n">
        <v>1680</v>
      </c>
      <c r="F20" s="21"/>
      <c r="G20" s="24" t="n">
        <v>2.8</v>
      </c>
      <c r="H20" s="24" t="n">
        <v>-166.5</v>
      </c>
      <c r="I20" s="24" t="n">
        <v>-0.118928571428571</v>
      </c>
      <c r="J20" s="24" t="n">
        <v>-1680</v>
      </c>
      <c r="K20" s="21"/>
      <c r="L20" s="24" t="n">
        <v>1.4</v>
      </c>
      <c r="M20" s="24" t="n">
        <v>46.6</v>
      </c>
      <c r="N20" s="24" t="n">
        <v>0.0332857142857143</v>
      </c>
      <c r="O20" s="24" t="n">
        <v>840</v>
      </c>
      <c r="P20" s="21"/>
    </row>
    <row r="21" customFormat="false" ht="13.8" hidden="false" customHeight="false" outlineLevel="0" collapsed="false">
      <c r="A21" s="21"/>
      <c r="B21" s="24" t="n">
        <v>3</v>
      </c>
      <c r="C21" s="24" t="n">
        <v>164.7</v>
      </c>
      <c r="D21" s="24" t="n">
        <v>0.117642857142857</v>
      </c>
      <c r="E21" s="24" t="n">
        <v>1800</v>
      </c>
      <c r="F21" s="21"/>
      <c r="G21" s="24" t="n">
        <v>3</v>
      </c>
      <c r="H21" s="24" t="n">
        <v>-176</v>
      </c>
      <c r="I21" s="24" t="n">
        <v>-0.125714285714286</v>
      </c>
      <c r="J21" s="24" t="n">
        <v>-1800</v>
      </c>
      <c r="K21" s="21"/>
      <c r="L21" s="24" t="n">
        <v>1.6</v>
      </c>
      <c r="M21" s="24" t="n">
        <v>65</v>
      </c>
      <c r="N21" s="24" t="n">
        <v>0.0464285714285714</v>
      </c>
      <c r="O21" s="24" t="n">
        <v>960</v>
      </c>
      <c r="P21" s="21"/>
    </row>
    <row r="22" customFormat="false" ht="13.8" hidden="false" customHeight="false" outlineLevel="0" collapsed="false">
      <c r="A22" s="21"/>
      <c r="B22" s="24" t="n">
        <v>2.8</v>
      </c>
      <c r="C22" s="24" t="n">
        <v>160.9</v>
      </c>
      <c r="D22" s="24" t="n">
        <v>0.114928571428571</v>
      </c>
      <c r="E22" s="24" t="n">
        <v>1680</v>
      </c>
      <c r="F22" s="21"/>
      <c r="G22" s="24" t="n">
        <v>2.8</v>
      </c>
      <c r="H22" s="24" t="n">
        <v>-172.2</v>
      </c>
      <c r="I22" s="24" t="n">
        <v>-0.123</v>
      </c>
      <c r="J22" s="24" t="n">
        <v>-1680</v>
      </c>
      <c r="K22" s="21"/>
      <c r="L22" s="24" t="n">
        <v>1.8</v>
      </c>
      <c r="M22" s="24" t="n">
        <v>89.4</v>
      </c>
      <c r="N22" s="24" t="n">
        <v>0.0638571428571429</v>
      </c>
      <c r="O22" s="24" t="n">
        <v>1080</v>
      </c>
      <c r="P22" s="21"/>
    </row>
    <row r="23" customFormat="false" ht="13.8" hidden="false" customHeight="false" outlineLevel="0" collapsed="false">
      <c r="A23" s="21"/>
      <c r="B23" s="24" t="n">
        <v>2.6</v>
      </c>
      <c r="C23" s="24" t="n">
        <v>157.3</v>
      </c>
      <c r="D23" s="24" t="n">
        <v>0.112357142857143</v>
      </c>
      <c r="E23" s="24" t="n">
        <v>1560</v>
      </c>
      <c r="F23" s="21"/>
      <c r="G23" s="24" t="n">
        <v>2.6</v>
      </c>
      <c r="H23" s="24" t="n">
        <v>-168.6</v>
      </c>
      <c r="I23" s="24" t="n">
        <v>-0.120428571428571</v>
      </c>
      <c r="J23" s="24" t="n">
        <v>-1560</v>
      </c>
      <c r="K23" s="21"/>
      <c r="L23" s="24" t="n">
        <v>2</v>
      </c>
      <c r="M23" s="24" t="n">
        <v>100.5</v>
      </c>
      <c r="N23" s="24" t="n">
        <v>0.0717857142857143</v>
      </c>
      <c r="O23" s="24" t="n">
        <v>1200</v>
      </c>
      <c r="P23" s="21"/>
    </row>
    <row r="24" customFormat="false" ht="13.8" hidden="false" customHeight="false" outlineLevel="0" collapsed="false">
      <c r="A24" s="21"/>
      <c r="B24" s="24" t="n">
        <v>2.4</v>
      </c>
      <c r="C24" s="24" t="n">
        <v>153.4</v>
      </c>
      <c r="D24" s="24" t="n">
        <v>0.109571428571429</v>
      </c>
      <c r="E24" s="24" t="n">
        <v>1440</v>
      </c>
      <c r="F24" s="21"/>
      <c r="G24" s="24" t="n">
        <v>2.4</v>
      </c>
      <c r="H24" s="24" t="n">
        <v>-164.6</v>
      </c>
      <c r="I24" s="24" t="n">
        <v>-0.117571428571429</v>
      </c>
      <c r="J24" s="24" t="n">
        <v>-1440</v>
      </c>
      <c r="K24" s="21"/>
      <c r="L24" s="24" t="n">
        <v>2.2</v>
      </c>
      <c r="M24" s="24" t="n">
        <v>116</v>
      </c>
      <c r="N24" s="24" t="n">
        <v>0.0828571428571429</v>
      </c>
      <c r="O24" s="24" t="n">
        <v>1320</v>
      </c>
      <c r="P24" s="21"/>
    </row>
    <row r="25" customFormat="false" ht="13.8" hidden="false" customHeight="false" outlineLevel="0" collapsed="false">
      <c r="A25" s="21"/>
      <c r="B25" s="24" t="n">
        <v>2.2</v>
      </c>
      <c r="C25" s="24" t="n">
        <v>149.2</v>
      </c>
      <c r="D25" s="24" t="n">
        <v>0.106571428571429</v>
      </c>
      <c r="E25" s="24" t="n">
        <v>1320</v>
      </c>
      <c r="F25" s="21"/>
      <c r="G25" s="24" t="n">
        <v>2.2</v>
      </c>
      <c r="H25" s="24" t="n">
        <v>-160.6</v>
      </c>
      <c r="I25" s="24" t="n">
        <v>-0.114714285714286</v>
      </c>
      <c r="J25" s="24" t="n">
        <v>-1320</v>
      </c>
      <c r="K25" s="21"/>
      <c r="L25" s="24" t="n">
        <v>2.4</v>
      </c>
      <c r="M25" s="24" t="n">
        <v>128.9</v>
      </c>
      <c r="N25" s="24" t="n">
        <v>0.0920714285714286</v>
      </c>
      <c r="O25" s="24" t="n">
        <v>1440</v>
      </c>
      <c r="P25" s="21"/>
    </row>
    <row r="26" customFormat="false" ht="13.8" hidden="false" customHeight="false" outlineLevel="0" collapsed="false">
      <c r="A26" s="21"/>
      <c r="B26" s="24" t="n">
        <v>2</v>
      </c>
      <c r="C26" s="24" t="n">
        <v>144.8</v>
      </c>
      <c r="D26" s="24" t="n">
        <v>0.103428571428571</v>
      </c>
      <c r="E26" s="24" t="n">
        <v>1200</v>
      </c>
      <c r="F26" s="21"/>
      <c r="G26" s="24" t="n">
        <v>2</v>
      </c>
      <c r="H26" s="24" t="n">
        <v>-156.1</v>
      </c>
      <c r="I26" s="24" t="n">
        <v>-0.1115</v>
      </c>
      <c r="J26" s="24" t="n">
        <v>-1200</v>
      </c>
      <c r="K26" s="21"/>
      <c r="L26" s="24" t="n">
        <v>2.6</v>
      </c>
      <c r="M26" s="24" t="n">
        <v>142.4</v>
      </c>
      <c r="N26" s="24" t="n">
        <v>0.101714285714286</v>
      </c>
      <c r="O26" s="24" t="n">
        <v>1560</v>
      </c>
      <c r="P26" s="21"/>
    </row>
    <row r="27" customFormat="false" ht="13.8" hidden="false" customHeight="false" outlineLevel="0" collapsed="false">
      <c r="A27" s="21"/>
      <c r="B27" s="24" t="n">
        <v>1.8</v>
      </c>
      <c r="C27" s="24" t="n">
        <v>139.8</v>
      </c>
      <c r="D27" s="24" t="n">
        <v>0.0998571428571429</v>
      </c>
      <c r="E27" s="24" t="n">
        <v>1080</v>
      </c>
      <c r="F27" s="21"/>
      <c r="G27" s="24" t="n">
        <v>1.8</v>
      </c>
      <c r="H27" s="24" t="n">
        <v>-151.3</v>
      </c>
      <c r="I27" s="24" t="n">
        <v>-0.108071428571429</v>
      </c>
      <c r="J27" s="24" t="n">
        <v>-1080</v>
      </c>
      <c r="K27" s="21"/>
      <c r="L27" s="24" t="n">
        <v>2.8</v>
      </c>
      <c r="M27" s="24" t="n">
        <v>153.7</v>
      </c>
      <c r="N27" s="24" t="n">
        <v>0.109785714285714</v>
      </c>
      <c r="O27" s="24" t="n">
        <v>1680</v>
      </c>
      <c r="P27" s="21"/>
    </row>
    <row r="28" customFormat="false" ht="13.8" hidden="false" customHeight="false" outlineLevel="0" collapsed="false">
      <c r="A28" s="21"/>
      <c r="B28" s="24" t="n">
        <v>1.6</v>
      </c>
      <c r="C28" s="24" t="n">
        <v>135</v>
      </c>
      <c r="D28" s="24" t="n">
        <v>0.0964285714285714</v>
      </c>
      <c r="E28" s="24" t="n">
        <v>960</v>
      </c>
      <c r="F28" s="21"/>
      <c r="G28" s="24" t="n">
        <v>1.6</v>
      </c>
      <c r="H28" s="24" t="n">
        <v>-146.1</v>
      </c>
      <c r="I28" s="24" t="n">
        <v>-0.104357142857143</v>
      </c>
      <c r="J28" s="24" t="n">
        <v>-960</v>
      </c>
      <c r="K28" s="21"/>
      <c r="L28" s="24" t="n">
        <v>3</v>
      </c>
      <c r="M28" s="24" t="n">
        <v>166.2</v>
      </c>
      <c r="N28" s="24" t="n">
        <v>0.118714285714286</v>
      </c>
      <c r="O28" s="24" t="n">
        <v>1800</v>
      </c>
      <c r="P28" s="21"/>
    </row>
    <row r="29" customFormat="false" ht="13.8" hidden="false" customHeight="false" outlineLevel="0" collapsed="false">
      <c r="A29" s="21"/>
      <c r="B29" s="24" t="n">
        <v>1.4</v>
      </c>
      <c r="C29" s="24" t="n">
        <v>129.6</v>
      </c>
      <c r="D29" s="24" t="n">
        <v>0.0925714285714285</v>
      </c>
      <c r="E29" s="24" t="n">
        <v>840</v>
      </c>
      <c r="F29" s="21"/>
      <c r="G29" s="24" t="n">
        <v>1.4</v>
      </c>
      <c r="H29" s="24" t="n">
        <v>-140.1</v>
      </c>
      <c r="I29" s="24" t="n">
        <v>-0.100071428571429</v>
      </c>
      <c r="J29" s="24" t="n">
        <v>-840</v>
      </c>
      <c r="K29" s="21"/>
      <c r="L29" s="21"/>
      <c r="M29" s="21"/>
      <c r="N29" s="21"/>
      <c r="O29" s="21"/>
      <c r="P29" s="21"/>
    </row>
    <row r="30" customFormat="false" ht="13.8" hidden="false" customHeight="false" outlineLevel="0" collapsed="false">
      <c r="A30" s="21"/>
      <c r="B30" s="24" t="n">
        <v>1.2</v>
      </c>
      <c r="C30" s="24" t="n">
        <v>123.4</v>
      </c>
      <c r="D30" s="24" t="n">
        <v>0.0881428571428572</v>
      </c>
      <c r="E30" s="24" t="n">
        <v>720</v>
      </c>
      <c r="F30" s="21"/>
      <c r="G30" s="24" t="n">
        <v>1.2</v>
      </c>
      <c r="H30" s="24" t="n">
        <v>-133.9</v>
      </c>
      <c r="I30" s="24" t="n">
        <v>-0.0956428571428571</v>
      </c>
      <c r="J30" s="24" t="n">
        <v>-720</v>
      </c>
      <c r="K30" s="21"/>
      <c r="L30" s="21"/>
      <c r="M30" s="21"/>
      <c r="N30" s="21"/>
      <c r="O30" s="21"/>
      <c r="P30" s="21"/>
    </row>
    <row r="31" customFormat="false" ht="13.8" hidden="false" customHeight="false" outlineLevel="0" collapsed="false">
      <c r="A31" s="21"/>
      <c r="B31" s="24" t="n">
        <v>1</v>
      </c>
      <c r="C31" s="24" t="n">
        <v>116</v>
      </c>
      <c r="D31" s="24" t="n">
        <v>0.0828571428571429</v>
      </c>
      <c r="E31" s="24" t="n">
        <v>600</v>
      </c>
      <c r="F31" s="21"/>
      <c r="G31" s="24" t="n">
        <v>1</v>
      </c>
      <c r="H31" s="24" t="n">
        <v>-126.7</v>
      </c>
      <c r="I31" s="24" t="n">
        <v>-0.0905</v>
      </c>
      <c r="J31" s="24" t="n">
        <v>-600</v>
      </c>
      <c r="K31" s="21"/>
      <c r="L31" s="21"/>
      <c r="M31" s="21"/>
      <c r="N31" s="21"/>
      <c r="O31" s="21"/>
      <c r="P31" s="21"/>
    </row>
    <row r="32" customFormat="false" ht="13.8" hidden="false" customHeight="false" outlineLevel="0" collapsed="false">
      <c r="A32" s="21"/>
      <c r="B32" s="24" t="n">
        <v>0.8</v>
      </c>
      <c r="C32" s="24" t="n">
        <v>109.2</v>
      </c>
      <c r="D32" s="24" t="n">
        <v>0.078</v>
      </c>
      <c r="E32" s="24" t="n">
        <v>480</v>
      </c>
      <c r="F32" s="21"/>
      <c r="G32" s="24" t="n">
        <v>0.8</v>
      </c>
      <c r="H32" s="24" t="n">
        <v>-119</v>
      </c>
      <c r="I32" s="24" t="n">
        <v>-0.085</v>
      </c>
      <c r="J32" s="24" t="n">
        <v>-480</v>
      </c>
      <c r="K32" s="21"/>
      <c r="L32" s="21"/>
    </row>
    <row r="33" customFormat="false" ht="13.8" hidden="false" customHeight="false" outlineLevel="0" collapsed="false">
      <c r="A33" s="21"/>
      <c r="B33" s="24" t="n">
        <v>0.6</v>
      </c>
      <c r="C33" s="24" t="n">
        <v>101.1</v>
      </c>
      <c r="D33" s="24" t="n">
        <v>0.0722142857142857</v>
      </c>
      <c r="E33" s="24" t="n">
        <v>360</v>
      </c>
      <c r="F33" s="21"/>
      <c r="G33" s="24" t="n">
        <v>0.6</v>
      </c>
      <c r="H33" s="24" t="n">
        <v>-110.7</v>
      </c>
      <c r="I33" s="24" t="n">
        <v>-0.0790714285714286</v>
      </c>
      <c r="J33" s="24" t="n">
        <v>-360</v>
      </c>
      <c r="K33" s="21"/>
      <c r="L33" s="21"/>
    </row>
    <row r="34" customFormat="false" ht="13.8" hidden="false" customHeight="false" outlineLevel="0" collapsed="false">
      <c r="A34" s="21"/>
      <c r="B34" s="24" t="n">
        <v>0.4</v>
      </c>
      <c r="C34" s="24" t="n">
        <v>92</v>
      </c>
      <c r="D34" s="24" t="n">
        <v>0.0657142857142857</v>
      </c>
      <c r="E34" s="24" t="n">
        <v>240</v>
      </c>
      <c r="F34" s="21"/>
      <c r="G34" s="24" t="n">
        <v>0.4</v>
      </c>
      <c r="H34" s="24" t="n">
        <v>-99.6</v>
      </c>
      <c r="I34" s="24" t="n">
        <v>-0.0711428571428571</v>
      </c>
      <c r="J34" s="24" t="n">
        <v>-240</v>
      </c>
      <c r="K34" s="21"/>
      <c r="L34" s="21"/>
    </row>
    <row r="35" customFormat="false" ht="13.8" hidden="false" customHeight="false" outlineLevel="0" collapsed="false">
      <c r="A35" s="21"/>
      <c r="B35" s="24" t="n">
        <v>0.2</v>
      </c>
      <c r="C35" s="24" t="n">
        <v>80.8</v>
      </c>
      <c r="D35" s="24" t="n">
        <v>0.0577142857142857</v>
      </c>
      <c r="E35" s="24" t="n">
        <v>120</v>
      </c>
      <c r="F35" s="21"/>
      <c r="G35" s="24" t="n">
        <v>0.2</v>
      </c>
      <c r="H35" s="24" t="n">
        <v>-88.3</v>
      </c>
      <c r="I35" s="24" t="n">
        <v>-0.0630714285714286</v>
      </c>
      <c r="J35" s="24" t="n">
        <v>-120</v>
      </c>
      <c r="K35" s="21"/>
      <c r="L35" s="21"/>
    </row>
    <row r="36" customFormat="false" ht="13.8" hidden="false" customHeight="false" outlineLevel="0" collapsed="false">
      <c r="A36" s="21"/>
      <c r="B36" s="24" t="n">
        <v>0</v>
      </c>
      <c r="C36" s="24" t="n">
        <v>69.6</v>
      </c>
      <c r="D36" s="24" t="n">
        <v>0.0497142857142857</v>
      </c>
      <c r="E36" s="24" t="n">
        <v>0</v>
      </c>
      <c r="F36" s="21"/>
      <c r="G36" s="24" t="n">
        <v>0</v>
      </c>
      <c r="H36" s="24" t="n">
        <v>-74.9</v>
      </c>
      <c r="I36" s="24" t="n">
        <v>-0.0535</v>
      </c>
      <c r="J36" s="24" t="n">
        <v>0</v>
      </c>
      <c r="K36" s="21"/>
      <c r="L36" s="21"/>
    </row>
    <row r="37" customFormat="false" ht="13.8" hidden="false" customHeight="false" outlineLevel="0" collapsed="false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</row>
    <row r="38" customFormat="false" ht="13.8" hidden="false" customHeight="false" outlineLevel="0" collapsed="false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</row>
    <row r="39" customFormat="false" ht="13.8" hidden="false" customHeight="false" outlineLevel="0" collapsed="false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customFormat="false" ht="13.8" hidden="false" customHeight="false" outlineLevel="0" collapsed="false">
      <c r="G40" s="21"/>
    </row>
    <row r="41" customFormat="false" ht="13.8" hidden="false" customHeight="false" outlineLevel="0" collapsed="false">
      <c r="G41" s="21"/>
    </row>
    <row r="42" customFormat="false" ht="13.8" hidden="false" customHeight="false" outlineLevel="0" collapsed="false">
      <c r="G42" s="21"/>
    </row>
    <row r="43" customFormat="false" ht="13.8" hidden="false" customHeight="false" outlineLevel="0" collapsed="false">
      <c r="G43" s="21"/>
    </row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LibreOffice/6.1.3.2$Windows_x86 LibreOffice_project/86daf60bf00efa86ad547e59e09d6bb77c699acb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/>
  <dc:description/>
  <dc:language>pl-PL</dc:language>
  <cp:lastModifiedBy/>
  <dcterms:modified xsi:type="dcterms:W3CDTF">2019-04-14T15:42:59Z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