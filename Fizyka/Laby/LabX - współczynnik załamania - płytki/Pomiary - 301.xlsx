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łytka 1" sheetId="1" r:id="rId3"/>
    <sheet state="visible" name="Płytka 2" sheetId="2" r:id="rId4"/>
    <sheet state="visible" name="Płytka 3" sheetId="3" r:id="rId5"/>
    <sheet state="visible" name="Płytka 4" sheetId="4" r:id="rId6"/>
  </sheets>
  <definedNames/>
  <calcPr/>
</workbook>
</file>

<file path=xl/sharedStrings.xml><?xml version="1.0" encoding="utf-8"?>
<sst xmlns="http://schemas.openxmlformats.org/spreadsheetml/2006/main" count="44" uniqueCount="12">
  <si>
    <t>Lp</t>
  </si>
  <si>
    <t>d [mm]</t>
  </si>
  <si>
    <t>h2</t>
  </si>
  <si>
    <t>h</t>
  </si>
  <si>
    <t>n</t>
  </si>
  <si>
    <t>delta n</t>
  </si>
  <si>
    <t>h1</t>
  </si>
  <si>
    <t>Średnia</t>
  </si>
  <si>
    <t>Delta d</t>
  </si>
  <si>
    <t>Delta h</t>
  </si>
  <si>
    <t>Błąd przypadkowy</t>
  </si>
  <si>
    <t>Lp.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</si>
</sst>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0.0"/>
    </font>
    <font/>
    <font>
      <b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1" numFmtId="0" xfId="0" applyFont="1"/>
    <xf borderId="0" fillId="0" fontId="1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  <c r="B1" s="2" t="s">
        <v>1</v>
      </c>
      <c r="C1" s="2" t="s">
        <v>6</v>
      </c>
      <c r="D1" s="2" t="s">
        <v>2</v>
      </c>
      <c r="E1" s="2" t="s">
        <v>3</v>
      </c>
      <c r="F1" s="2" t="s">
        <v>4</v>
      </c>
      <c r="G1" s="2" t="s">
        <v>5</v>
      </c>
    </row>
    <row r="2">
      <c r="A2" s="2">
        <v>1.0</v>
      </c>
      <c r="B2" s="2">
        <v>3.65</v>
      </c>
      <c r="C2" s="2">
        <v>7.42</v>
      </c>
      <c r="D2" s="2">
        <v>9.92</v>
      </c>
      <c r="E2" s="2">
        <f t="shared" ref="E2:E7" si="1">D2-C2</f>
        <v>2.5</v>
      </c>
      <c r="F2" s="2">
        <f t="shared" ref="F2:F7" si="2">ROUND(B2/E2,2)</f>
        <v>1.46</v>
      </c>
      <c r="G2" s="2">
        <f t="shared" ref="G2:G7" si="3">ROUND((($B$9/B2)+($B$10/E2))*F2,7)</f>
        <v>0.00984</v>
      </c>
      <c r="H2" s="2"/>
    </row>
    <row r="3">
      <c r="A3" s="2">
        <v>2.0</v>
      </c>
      <c r="B3" s="2">
        <v>3.65</v>
      </c>
      <c r="C3" s="2">
        <v>7.46</v>
      </c>
      <c r="D3" s="2">
        <v>9.66</v>
      </c>
      <c r="E3" s="2">
        <f t="shared" si="1"/>
        <v>2.2</v>
      </c>
      <c r="F3" s="2">
        <f t="shared" si="2"/>
        <v>1.66</v>
      </c>
      <c r="G3" s="2">
        <f t="shared" si="3"/>
        <v>0.0120934</v>
      </c>
    </row>
    <row r="4">
      <c r="A4" s="2">
        <v>3.0</v>
      </c>
      <c r="B4" s="2">
        <v>3.65</v>
      </c>
      <c r="C4" s="2">
        <v>7.46</v>
      </c>
      <c r="D4" s="2">
        <v>9.64</v>
      </c>
      <c r="E4" s="2">
        <f t="shared" si="1"/>
        <v>2.18</v>
      </c>
      <c r="F4" s="2">
        <f t="shared" si="2"/>
        <v>1.67</v>
      </c>
      <c r="G4" s="2">
        <f t="shared" si="3"/>
        <v>0.0122359</v>
      </c>
    </row>
    <row r="5">
      <c r="A5" s="2">
        <v>4.0</v>
      </c>
      <c r="B5" s="2">
        <v>3.65</v>
      </c>
      <c r="C5" s="2">
        <v>7.42</v>
      </c>
      <c r="D5" s="2">
        <v>9.64</v>
      </c>
      <c r="E5" s="2">
        <f t="shared" si="1"/>
        <v>2.22</v>
      </c>
      <c r="F5" s="2">
        <f t="shared" si="2"/>
        <v>1.64</v>
      </c>
      <c r="G5" s="2">
        <f t="shared" si="3"/>
        <v>0.0118805</v>
      </c>
    </row>
    <row r="6">
      <c r="A6" s="2">
        <v>5.0</v>
      </c>
      <c r="B6" s="2">
        <v>3.65</v>
      </c>
      <c r="C6" s="2">
        <v>7.46</v>
      </c>
      <c r="D6" s="2">
        <v>9.66</v>
      </c>
      <c r="E6" s="2">
        <f t="shared" si="1"/>
        <v>2.2</v>
      </c>
      <c r="F6" s="2">
        <f t="shared" si="2"/>
        <v>1.66</v>
      </c>
      <c r="G6" s="2">
        <f t="shared" si="3"/>
        <v>0.0120934</v>
      </c>
    </row>
    <row r="7">
      <c r="A7" s="2">
        <v>6.0</v>
      </c>
      <c r="B7" s="2">
        <v>3.65</v>
      </c>
      <c r="C7" s="2">
        <v>7.44</v>
      </c>
      <c r="D7" s="2">
        <v>9.62</v>
      </c>
      <c r="E7" s="2">
        <f t="shared" si="1"/>
        <v>2.18</v>
      </c>
      <c r="F7" s="2">
        <f t="shared" si="2"/>
        <v>1.67</v>
      </c>
      <c r="G7" s="2">
        <f t="shared" si="3"/>
        <v>0.0122359</v>
      </c>
    </row>
    <row r="8">
      <c r="E8" s="2" t="s">
        <v>7</v>
      </c>
      <c r="F8" s="2">
        <f t="shared" ref="F8:G8" si="4">ROUND(AVERAGE(F2:F7),4)</f>
        <v>1.6267</v>
      </c>
      <c r="G8">
        <f t="shared" si="4"/>
        <v>0.0117</v>
      </c>
    </row>
    <row r="9">
      <c r="A9" s="2" t="s">
        <v>8</v>
      </c>
      <c r="B9" s="2">
        <v>0.01</v>
      </c>
    </row>
    <row r="10">
      <c r="A10" s="2" t="s">
        <v>9</v>
      </c>
      <c r="B10" s="2">
        <v>0.01</v>
      </c>
    </row>
    <row r="11">
      <c r="A11" s="2"/>
      <c r="B11" s="2"/>
      <c r="C11" s="2"/>
      <c r="F11" s="2"/>
    </row>
    <row r="12">
      <c r="A12" s="2" t="s">
        <v>10</v>
      </c>
      <c r="B12">
        <f>3*G8*1.1</f>
        <v>0.03861</v>
      </c>
    </row>
    <row r="13">
      <c r="A13" s="2"/>
      <c r="B13" s="2"/>
      <c r="C13" s="2"/>
    </row>
    <row r="14">
      <c r="A14" s="2"/>
      <c r="B14" s="2"/>
      <c r="C14" s="2"/>
    </row>
    <row r="16">
      <c r="A16" s="2"/>
      <c r="B16" s="2"/>
      <c r="C16" s="2"/>
      <c r="D16" s="2"/>
      <c r="E16" s="2"/>
      <c r="F16" s="2"/>
      <c r="G16" s="2"/>
    </row>
    <row r="17">
      <c r="A17" s="2"/>
      <c r="C17" s="2"/>
      <c r="D17" s="2"/>
      <c r="E17" s="2"/>
      <c r="F17" s="2"/>
    </row>
    <row r="18">
      <c r="A18" s="2"/>
      <c r="C18" s="2"/>
      <c r="D18" s="2"/>
      <c r="E18" s="2"/>
      <c r="F18" s="2"/>
    </row>
    <row r="19">
      <c r="A19" s="2"/>
      <c r="C19" s="2"/>
      <c r="D19" s="2"/>
      <c r="E19" s="2"/>
      <c r="F19" s="2"/>
    </row>
    <row r="20">
      <c r="A20" s="2"/>
      <c r="C20" s="2"/>
      <c r="D20" s="2"/>
      <c r="E20" s="2"/>
      <c r="F20" s="2"/>
    </row>
    <row r="21">
      <c r="A21" s="2"/>
      <c r="C21" s="2"/>
      <c r="D21" s="2"/>
      <c r="E21" s="2"/>
      <c r="F21" s="2"/>
    </row>
    <row r="22">
      <c r="A22" s="2"/>
      <c r="C22" s="2"/>
      <c r="D22" s="2"/>
      <c r="E22" s="2"/>
      <c r="F22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1.0</v>
      </c>
      <c r="B2" s="1">
        <v>6.05</v>
      </c>
      <c r="C2" s="1">
        <v>5.15</v>
      </c>
      <c r="D2" s="1">
        <v>8.52</v>
      </c>
      <c r="E2" s="1">
        <f t="shared" ref="E2:E7" si="1">D2-C2</f>
        <v>3.37</v>
      </c>
      <c r="F2" s="3">
        <f t="shared" ref="F2:F7" si="2">ROUND(B2/E2,2)</f>
        <v>1.8</v>
      </c>
      <c r="G2" s="4">
        <f t="shared" ref="G2:G7" si="3">ROUND((($B$9/B2)+($B$10/E2))*F2,7)</f>
        <v>0.0083165</v>
      </c>
    </row>
    <row r="3">
      <c r="A3" s="1">
        <v>2.0</v>
      </c>
      <c r="B3" s="1">
        <v>6.05</v>
      </c>
      <c r="C3" s="1">
        <v>5.13</v>
      </c>
      <c r="D3" s="1">
        <v>8.55</v>
      </c>
      <c r="E3" s="1">
        <f t="shared" si="1"/>
        <v>3.42</v>
      </c>
      <c r="F3" s="3">
        <f t="shared" si="2"/>
        <v>1.77</v>
      </c>
      <c r="G3" s="4">
        <f t="shared" si="3"/>
        <v>0.0081011</v>
      </c>
    </row>
    <row r="4">
      <c r="A4" s="1">
        <v>3.0</v>
      </c>
      <c r="B4" s="1">
        <v>6.05</v>
      </c>
      <c r="C4" s="1">
        <v>5.13</v>
      </c>
      <c r="D4" s="1">
        <v>8.52</v>
      </c>
      <c r="E4" s="1">
        <f t="shared" si="1"/>
        <v>3.39</v>
      </c>
      <c r="F4" s="3">
        <f t="shared" si="2"/>
        <v>1.78</v>
      </c>
      <c r="G4" s="4">
        <f t="shared" si="3"/>
        <v>0.0081929</v>
      </c>
    </row>
    <row r="5">
      <c r="A5" s="1">
        <v>4.0</v>
      </c>
      <c r="B5" s="1">
        <v>6.05</v>
      </c>
      <c r="C5" s="1">
        <v>5.12</v>
      </c>
      <c r="D5" s="1">
        <v>8.53</v>
      </c>
      <c r="E5" s="1">
        <f t="shared" si="1"/>
        <v>3.41</v>
      </c>
      <c r="F5" s="3">
        <f t="shared" si="2"/>
        <v>1.77</v>
      </c>
      <c r="G5" s="4">
        <f t="shared" si="3"/>
        <v>0.0081162</v>
      </c>
    </row>
    <row r="6">
      <c r="A6" s="1">
        <v>5.0</v>
      </c>
      <c r="B6" s="1">
        <v>6.05</v>
      </c>
      <c r="C6" s="1">
        <v>5.16</v>
      </c>
      <c r="D6" s="1">
        <v>8.54</v>
      </c>
      <c r="E6" s="1">
        <f t="shared" si="1"/>
        <v>3.38</v>
      </c>
      <c r="F6" s="3">
        <f t="shared" si="2"/>
        <v>1.79</v>
      </c>
      <c r="G6" s="4">
        <f t="shared" si="3"/>
        <v>0.0082545</v>
      </c>
    </row>
    <row r="7">
      <c r="A7" s="1">
        <v>6.0</v>
      </c>
      <c r="B7" s="1">
        <v>6.05</v>
      </c>
      <c r="C7" s="1">
        <v>5.15</v>
      </c>
      <c r="D7" s="1">
        <v>8.51</v>
      </c>
      <c r="E7" s="1">
        <f t="shared" si="1"/>
        <v>3.36</v>
      </c>
      <c r="F7" s="3">
        <f t="shared" si="2"/>
        <v>1.8</v>
      </c>
      <c r="G7" s="4">
        <f t="shared" si="3"/>
        <v>0.0083323</v>
      </c>
    </row>
    <row r="8">
      <c r="A8" s="4"/>
      <c r="B8" s="4"/>
      <c r="C8" s="4"/>
      <c r="D8" s="4"/>
      <c r="E8" s="1" t="s">
        <v>7</v>
      </c>
      <c r="F8" s="1">
        <f t="shared" ref="F8:G8" si="4">ROUND(AVERAGE(F2:F7),4)</f>
        <v>1.785</v>
      </c>
      <c r="G8" s="4">
        <f t="shared" si="4"/>
        <v>0.0082</v>
      </c>
    </row>
    <row r="9">
      <c r="A9" s="2" t="s">
        <v>8</v>
      </c>
      <c r="B9" s="2">
        <v>0.01</v>
      </c>
    </row>
    <row r="10">
      <c r="A10" s="2" t="s">
        <v>9</v>
      </c>
      <c r="B10" s="2">
        <v>0.01</v>
      </c>
    </row>
    <row r="11">
      <c r="A11" s="2"/>
      <c r="B11" s="2"/>
    </row>
    <row r="12">
      <c r="A12" s="2" t="s">
        <v>10</v>
      </c>
      <c r="B12">
        <f>3*G8*1.1</f>
        <v>0.02706</v>
      </c>
    </row>
    <row r="13">
      <c r="A13" s="2"/>
    </row>
    <row r="14">
      <c r="A14" s="2"/>
      <c r="B14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1.0</v>
      </c>
      <c r="B2" s="1">
        <v>3.87</v>
      </c>
      <c r="C2" s="1">
        <v>7.22</v>
      </c>
      <c r="D2" s="1">
        <v>10.67</v>
      </c>
      <c r="E2" s="1">
        <f t="shared" ref="E2:E7" si="1">D2-C2</f>
        <v>3.45</v>
      </c>
      <c r="F2" s="3">
        <f t="shared" ref="F2:F7" si="2">ROUND(B2/E2,2)</f>
        <v>1.12</v>
      </c>
      <c r="G2" s="4">
        <f t="shared" ref="G2:G7" si="3">ROUND((($B$9/B2)+($B$10/E2))*F2,7)</f>
        <v>0.0061404</v>
      </c>
    </row>
    <row r="3">
      <c r="A3" s="1">
        <v>2.0</v>
      </c>
      <c r="B3" s="1">
        <v>3.87</v>
      </c>
      <c r="C3" s="1">
        <v>7.2</v>
      </c>
      <c r="D3" s="1">
        <v>10.64</v>
      </c>
      <c r="E3" s="1">
        <f t="shared" si="1"/>
        <v>3.44</v>
      </c>
      <c r="F3" s="3">
        <f t="shared" si="2"/>
        <v>1.13</v>
      </c>
      <c r="G3" s="4">
        <f t="shared" si="3"/>
        <v>0.0062048</v>
      </c>
    </row>
    <row r="4">
      <c r="A4" s="1">
        <v>3.0</v>
      </c>
      <c r="B4" s="1">
        <v>3.87</v>
      </c>
      <c r="C4" s="1">
        <v>7.21</v>
      </c>
      <c r="D4" s="1">
        <v>10.63</v>
      </c>
      <c r="E4" s="1">
        <f t="shared" si="1"/>
        <v>3.42</v>
      </c>
      <c r="F4" s="3">
        <f t="shared" si="2"/>
        <v>1.13</v>
      </c>
      <c r="G4" s="4">
        <f t="shared" si="3"/>
        <v>0.006224</v>
      </c>
    </row>
    <row r="5">
      <c r="A5" s="1">
        <v>4.0</v>
      </c>
      <c r="B5" s="1">
        <v>3.87</v>
      </c>
      <c r="C5" s="1">
        <v>7.22</v>
      </c>
      <c r="D5" s="1">
        <v>10.62</v>
      </c>
      <c r="E5" s="1">
        <f t="shared" si="1"/>
        <v>3.4</v>
      </c>
      <c r="F5" s="3">
        <f t="shared" si="2"/>
        <v>1.14</v>
      </c>
      <c r="G5" s="4">
        <f t="shared" si="3"/>
        <v>0.0062987</v>
      </c>
    </row>
    <row r="6">
      <c r="A6" s="1">
        <v>5.0</v>
      </c>
      <c r="B6" s="1">
        <v>3.87</v>
      </c>
      <c r="C6" s="1">
        <v>7.23</v>
      </c>
      <c r="D6" s="1">
        <v>10.62</v>
      </c>
      <c r="E6" s="1">
        <f t="shared" si="1"/>
        <v>3.39</v>
      </c>
      <c r="F6" s="3">
        <f t="shared" si="2"/>
        <v>1.14</v>
      </c>
      <c r="G6" s="4">
        <f t="shared" si="3"/>
        <v>0.0063086</v>
      </c>
    </row>
    <row r="7">
      <c r="A7" s="1">
        <v>6.0</v>
      </c>
      <c r="B7" s="1">
        <v>3.87</v>
      </c>
      <c r="C7" s="1">
        <v>7.21</v>
      </c>
      <c r="D7" s="1">
        <v>10.65</v>
      </c>
      <c r="E7" s="1">
        <f t="shared" si="1"/>
        <v>3.44</v>
      </c>
      <c r="F7" s="3">
        <f t="shared" si="2"/>
        <v>1.13</v>
      </c>
      <c r="G7" s="4">
        <f t="shared" si="3"/>
        <v>0.0062048</v>
      </c>
    </row>
    <row r="8">
      <c r="A8" s="4"/>
      <c r="B8" s="4"/>
      <c r="C8" s="4"/>
      <c r="D8" s="4"/>
      <c r="E8" s="1" t="s">
        <v>7</v>
      </c>
      <c r="F8" s="1">
        <f t="shared" ref="F8:G8" si="4">ROUND(AVERAGE(F2:F7),4)</f>
        <v>1.1317</v>
      </c>
      <c r="G8" s="4">
        <f t="shared" si="4"/>
        <v>0.0062</v>
      </c>
    </row>
    <row r="9">
      <c r="A9" s="2" t="s">
        <v>8</v>
      </c>
      <c r="B9" s="2">
        <v>0.01</v>
      </c>
    </row>
    <row r="10">
      <c r="A10" s="2" t="s">
        <v>9</v>
      </c>
      <c r="B10" s="2">
        <v>0.01</v>
      </c>
    </row>
    <row r="11">
      <c r="A11" s="2"/>
      <c r="B11" s="2"/>
    </row>
    <row r="12">
      <c r="A12" s="2" t="s">
        <v>10</v>
      </c>
      <c r="B12">
        <f>3*G8*1.1</f>
        <v>0.02046</v>
      </c>
    </row>
    <row r="13">
      <c r="A13" s="2"/>
    </row>
    <row r="14">
      <c r="A14" s="2"/>
      <c r="B14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11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</row>
    <row r="2">
      <c r="A2" s="1">
        <v>1.0</v>
      </c>
      <c r="B2" s="1">
        <v>5.34</v>
      </c>
      <c r="C2" s="1">
        <v>5.15</v>
      </c>
      <c r="D2" s="1">
        <v>8.52</v>
      </c>
      <c r="E2" s="1">
        <f t="shared" ref="E2:E7" si="1">D2-C2</f>
        <v>3.37</v>
      </c>
      <c r="F2" s="3">
        <f t="shared" ref="F2:F7" si="2">ROUND(B2/E2,2)</f>
        <v>1.58</v>
      </c>
      <c r="G2" s="4">
        <f t="shared" ref="G2:G7" si="3">ROUND((($B$9/B2)+($B$10/E2))*F2,7)</f>
        <v>0.0076472</v>
      </c>
    </row>
    <row r="3">
      <c r="A3" s="1">
        <v>2.0</v>
      </c>
      <c r="B3" s="1">
        <v>5.34</v>
      </c>
      <c r="C3" s="1">
        <v>5.13</v>
      </c>
      <c r="D3" s="1">
        <v>8.55</v>
      </c>
      <c r="E3" s="1">
        <f t="shared" si="1"/>
        <v>3.42</v>
      </c>
      <c r="F3" s="3">
        <f t="shared" si="2"/>
        <v>1.56</v>
      </c>
      <c r="G3" s="4">
        <f t="shared" si="3"/>
        <v>0.0074828</v>
      </c>
    </row>
    <row r="4">
      <c r="A4" s="1">
        <v>3.0</v>
      </c>
      <c r="B4" s="1">
        <v>5.34</v>
      </c>
      <c r="C4" s="1">
        <v>5.13</v>
      </c>
      <c r="D4" s="1">
        <v>8.52</v>
      </c>
      <c r="E4" s="1">
        <f t="shared" si="1"/>
        <v>3.39</v>
      </c>
      <c r="F4" s="3">
        <f t="shared" si="2"/>
        <v>1.58</v>
      </c>
      <c r="G4" s="4">
        <f t="shared" si="3"/>
        <v>0.0076196</v>
      </c>
    </row>
    <row r="5">
      <c r="A5" s="1">
        <v>4.0</v>
      </c>
      <c r="B5" s="1">
        <v>5.34</v>
      </c>
      <c r="C5" s="1">
        <v>5.12</v>
      </c>
      <c r="D5" s="1">
        <v>8.53</v>
      </c>
      <c r="E5" s="1">
        <f t="shared" si="1"/>
        <v>3.41</v>
      </c>
      <c r="F5" s="3">
        <f t="shared" si="2"/>
        <v>1.57</v>
      </c>
      <c r="G5" s="4">
        <f t="shared" si="3"/>
        <v>0.0075442</v>
      </c>
    </row>
    <row r="6">
      <c r="A6" s="1">
        <v>5.0</v>
      </c>
      <c r="B6" s="1">
        <v>5.34</v>
      </c>
      <c r="C6" s="1">
        <v>5.16</v>
      </c>
      <c r="D6" s="1">
        <v>8.54</v>
      </c>
      <c r="E6" s="1">
        <f t="shared" si="1"/>
        <v>3.38</v>
      </c>
      <c r="F6" s="3">
        <f t="shared" si="2"/>
        <v>1.58</v>
      </c>
      <c r="G6" s="4">
        <f t="shared" si="3"/>
        <v>0.0076334</v>
      </c>
    </row>
    <row r="7">
      <c r="A7" s="1">
        <v>6.0</v>
      </c>
      <c r="B7" s="1">
        <v>5.34</v>
      </c>
      <c r="C7" s="1">
        <v>5.15</v>
      </c>
      <c r="D7" s="1">
        <v>8.51</v>
      </c>
      <c r="E7" s="1">
        <f t="shared" si="1"/>
        <v>3.36</v>
      </c>
      <c r="F7" s="3">
        <f t="shared" si="2"/>
        <v>1.59</v>
      </c>
      <c r="G7" s="4">
        <f t="shared" si="3"/>
        <v>0.0077097</v>
      </c>
    </row>
    <row r="8">
      <c r="A8" s="4"/>
      <c r="B8" s="4"/>
      <c r="C8" s="4"/>
      <c r="D8" s="4"/>
      <c r="E8" s="1" t="s">
        <v>7</v>
      </c>
      <c r="F8" s="1">
        <f t="shared" ref="F8:G8" si="4">ROUND(AVERAGE(F2:F7),4)</f>
        <v>1.5767</v>
      </c>
      <c r="G8" s="4">
        <f t="shared" si="4"/>
        <v>0.0076</v>
      </c>
    </row>
    <row r="9">
      <c r="A9" s="2" t="s">
        <v>8</v>
      </c>
      <c r="B9" s="2">
        <v>0.01</v>
      </c>
    </row>
    <row r="10">
      <c r="A10" s="2" t="s">
        <v>9</v>
      </c>
      <c r="B10" s="2">
        <v>0.01</v>
      </c>
    </row>
    <row r="11">
      <c r="A11" s="2"/>
      <c r="B11" s="2"/>
    </row>
    <row r="12">
      <c r="A12" s="2" t="s">
        <v>10</v>
      </c>
      <c r="B12">
        <f>3*G8*1.1</f>
        <v>0.02508</v>
      </c>
    </row>
    <row r="13">
      <c r="A13" s="2"/>
    </row>
    <row r="14">
      <c r="A14" s="5"/>
      <c r="B14" s="2"/>
    </row>
  </sheetData>
  <drawing r:id="rId1"/>
</worksheet>
</file>