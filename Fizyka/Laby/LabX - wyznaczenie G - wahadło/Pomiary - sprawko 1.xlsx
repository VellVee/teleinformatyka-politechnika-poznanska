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hadło rewersyjne - 1" sheetId="1" r:id="rId3"/>
    <sheet state="visible" name="Wahadło rewersyjne 1 i 2" sheetId="2" r:id="rId4"/>
    <sheet state="visible" name="Wahadło rewersyjne - 2" sheetId="3" r:id="rId5"/>
    <sheet state="visible" name="Wahadło matematyczna" sheetId="4" r:id="rId6"/>
  </sheets>
  <definedNames/>
  <calcPr/>
</workbook>
</file>

<file path=xl/sharedStrings.xml><?xml version="1.0" encoding="utf-8"?>
<sst xmlns="http://schemas.openxmlformats.org/spreadsheetml/2006/main" count="25" uniqueCount="10">
  <si>
    <t>Lp</t>
  </si>
  <si>
    <t>Długość wahadła</t>
  </si>
  <si>
    <t>Liczba wahnięć</t>
  </si>
  <si>
    <t>Czas</t>
  </si>
  <si>
    <t>Okres</t>
  </si>
  <si>
    <t>Przyspieszenie</t>
  </si>
  <si>
    <t>Średnia</t>
  </si>
  <si>
    <t>Średnia:</t>
  </si>
  <si>
    <t>Okres T1</t>
  </si>
  <si>
    <t>Okres T2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</si>
</sst>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b/>
    </font>
    <font/>
    <font>
      <sz val="14.0"/>
      <color rgb="FF000000"/>
      <name val="Arial"/>
    </font>
    <font>
      <name val="Arial"/>
    </font>
    <font>
      <sz val="10.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Fill="1" applyFont="1"/>
    <xf borderId="0" fillId="0" fontId="1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4" numFmtId="0" xfId="0" applyFont="1"/>
    <xf borderId="0" fillId="0" fontId="4" numFmtId="0" xfId="0" applyAlignment="1" applyFont="1">
      <alignment horizontal="right" readingOrder="0"/>
    </xf>
    <xf borderId="0" fillId="0" fontId="5" numFmtId="0" xfId="0" applyAlignment="1" applyFont="1">
      <alignment horizontal="right" readingOrder="0"/>
    </xf>
    <xf borderId="0" fillId="0" fontId="5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.14"/>
    <col customWidth="1" min="2" max="2" width="15.14"/>
    <col customWidth="1" min="3" max="3" width="13.86"/>
    <col customWidth="1" min="4" max="4" width="13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>
        <v>0.2</v>
      </c>
      <c r="C2" s="2">
        <v>10.0</v>
      </c>
      <c r="D2" s="2">
        <v>20.192</v>
      </c>
      <c r="E2">
        <f t="shared" ref="E2:E7" si="1">D2/C2</f>
        <v>2.0192</v>
      </c>
      <c r="F2" s="3">
        <f t="shared" ref="F2:F7" si="2">ROUND((4*pow(PI(),2)*B2)/pow(E2,2),4)</f>
        <v>1.9366</v>
      </c>
    </row>
    <row r="3">
      <c r="A3" s="2">
        <v>2.0</v>
      </c>
      <c r="B3" s="2">
        <v>0.3</v>
      </c>
      <c r="C3" s="2">
        <v>10.0</v>
      </c>
      <c r="D3" s="2">
        <v>19.485</v>
      </c>
      <c r="E3">
        <f t="shared" si="1"/>
        <v>1.9485</v>
      </c>
      <c r="F3" s="3">
        <f t="shared" si="2"/>
        <v>3.1195</v>
      </c>
    </row>
    <row r="4">
      <c r="A4" s="2">
        <v>3.0</v>
      </c>
      <c r="B4" s="2">
        <v>0.4</v>
      </c>
      <c r="C4" s="2">
        <v>10.0</v>
      </c>
      <c r="D4" s="2">
        <v>18.867</v>
      </c>
      <c r="E4">
        <f t="shared" si="1"/>
        <v>1.8867</v>
      </c>
      <c r="F4" s="3">
        <f t="shared" si="2"/>
        <v>4.4362</v>
      </c>
    </row>
    <row r="5">
      <c r="A5" s="2">
        <v>4.0</v>
      </c>
      <c r="B5" s="2">
        <v>0.5</v>
      </c>
      <c r="C5" s="2">
        <v>10.0</v>
      </c>
      <c r="D5" s="2">
        <v>18.631</v>
      </c>
      <c r="E5">
        <f t="shared" si="1"/>
        <v>1.8631</v>
      </c>
      <c r="F5" s="3">
        <f t="shared" si="2"/>
        <v>5.6867</v>
      </c>
    </row>
    <row r="6">
      <c r="A6" s="2">
        <v>5.0</v>
      </c>
      <c r="B6" s="2">
        <v>0.6</v>
      </c>
      <c r="C6" s="2">
        <v>10.0</v>
      </c>
      <c r="D6" s="2">
        <v>17.349</v>
      </c>
      <c r="E6">
        <f t="shared" si="1"/>
        <v>1.7349</v>
      </c>
      <c r="F6" s="3">
        <f t="shared" si="2"/>
        <v>7.8698</v>
      </c>
    </row>
    <row r="7">
      <c r="A7" s="2">
        <v>6.0</v>
      </c>
      <c r="B7" s="2">
        <v>0.7</v>
      </c>
      <c r="C7" s="2">
        <v>10.0</v>
      </c>
      <c r="D7" s="2">
        <v>18.129</v>
      </c>
      <c r="E7">
        <f t="shared" si="1"/>
        <v>1.8129</v>
      </c>
      <c r="F7" s="3">
        <f t="shared" si="2"/>
        <v>8.4083</v>
      </c>
    </row>
    <row r="8">
      <c r="E8" s="2" t="s">
        <v>6</v>
      </c>
      <c r="F8" s="4">
        <f>AVERAGE(F2:F7)</f>
        <v>5.24285</v>
      </c>
    </row>
  </sheetData>
  <conditionalFormatting sqref="F2:F7">
    <cfRule type="notContainsBlanks" dxfId="0" priority="1">
      <formula>LEN(TRIM(F2))&gt;0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.14"/>
  </cols>
  <sheetData>
    <row r="1">
      <c r="A1" s="6" t="s">
        <v>0</v>
      </c>
      <c r="B1" s="2" t="s">
        <v>1</v>
      </c>
      <c r="C1" s="7" t="s">
        <v>8</v>
      </c>
      <c r="D1" s="7" t="s">
        <v>9</v>
      </c>
      <c r="E1" s="8"/>
    </row>
    <row r="2">
      <c r="A2" s="6">
        <v>1.0</v>
      </c>
      <c r="B2" s="2">
        <v>0.2</v>
      </c>
      <c r="C2" s="9">
        <v>2.0192</v>
      </c>
      <c r="D2" s="10">
        <v>1.9598</v>
      </c>
      <c r="E2" s="11"/>
    </row>
    <row r="3">
      <c r="A3" s="6">
        <v>2.0</v>
      </c>
      <c r="B3" s="2">
        <v>0.3</v>
      </c>
      <c r="C3" s="9">
        <v>1.9485</v>
      </c>
      <c r="D3" s="10">
        <v>1.9217</v>
      </c>
      <c r="E3" s="11"/>
    </row>
    <row r="4">
      <c r="A4" s="6">
        <v>3.0</v>
      </c>
      <c r="B4" s="2">
        <v>0.4</v>
      </c>
      <c r="C4" s="9">
        <v>1.8867</v>
      </c>
      <c r="D4" s="10">
        <v>1.8998</v>
      </c>
      <c r="E4" s="11"/>
    </row>
    <row r="5">
      <c r="A5" s="6">
        <v>4.0</v>
      </c>
      <c r="B5" s="2">
        <v>0.5</v>
      </c>
      <c r="C5" s="9">
        <v>1.8631</v>
      </c>
      <c r="D5" s="10">
        <v>1.8907</v>
      </c>
      <c r="E5" s="11"/>
      <c r="H5" s="2">
        <f>192/10000</f>
        <v>0.0192</v>
      </c>
    </row>
    <row r="6">
      <c r="A6" s="6">
        <v>5.0</v>
      </c>
      <c r="B6" s="2">
        <v>0.6</v>
      </c>
      <c r="C6" s="9">
        <v>1.7349</v>
      </c>
      <c r="D6" s="10">
        <v>1.892</v>
      </c>
      <c r="E6" s="11"/>
    </row>
    <row r="7">
      <c r="A7" s="6">
        <v>6.0</v>
      </c>
      <c r="B7" s="2">
        <v>0.7</v>
      </c>
      <c r="C7" s="9">
        <v>1.8129</v>
      </c>
      <c r="D7" s="10">
        <v>1.9037</v>
      </c>
      <c r="E7" s="11"/>
    </row>
    <row r="8">
      <c r="A8" s="8"/>
      <c r="C8" s="11"/>
      <c r="D8" s="11"/>
      <c r="E8" s="11"/>
    </row>
    <row r="9">
      <c r="A9" s="8"/>
      <c r="B9" s="11"/>
      <c r="C9" s="11"/>
      <c r="D9" s="11"/>
      <c r="E9" s="11"/>
    </row>
    <row r="10">
      <c r="A10" s="8"/>
      <c r="B10" s="11"/>
      <c r="C10" s="11"/>
      <c r="D10" s="11"/>
      <c r="E10" s="11"/>
    </row>
    <row r="11">
      <c r="B11" s="11"/>
      <c r="C11" s="11"/>
      <c r="D11" s="11"/>
      <c r="E11" s="11"/>
    </row>
    <row r="12">
      <c r="B12" s="11"/>
      <c r="C12" s="11"/>
      <c r="D12" s="11"/>
      <c r="E12" s="11"/>
    </row>
    <row r="13">
      <c r="B13" s="11"/>
      <c r="C13" s="11"/>
      <c r="D13" s="11"/>
      <c r="E13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.14"/>
    <col customWidth="1" min="2" max="2" width="15.14"/>
    <col customWidth="1" min="3" max="3" width="13.86"/>
    <col customWidth="1" min="4" max="4" width="13.7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>
      <c r="A2" s="2">
        <v>1.0</v>
      </c>
      <c r="B2" s="2">
        <v>0.2</v>
      </c>
      <c r="C2" s="2">
        <v>10.0</v>
      </c>
      <c r="D2" s="2">
        <v>19.598</v>
      </c>
      <c r="E2">
        <f t="shared" ref="E2:E7" si="1">D2/C2</f>
        <v>1.9598</v>
      </c>
      <c r="F2" s="3">
        <f t="shared" ref="F2:F7" si="2">ROUND((4*pow(PI(),2)*B2)/pow(E2,2),4)</f>
        <v>2.0557</v>
      </c>
      <c r="G2">
        <f t="shared" ref="G2:G7" si="3">ROUND((0.01/B2+(2*0.001)/E2)*F2,5)</f>
        <v>0.10488</v>
      </c>
    </row>
    <row r="3">
      <c r="A3" s="2">
        <v>2.0</v>
      </c>
      <c r="B3" s="2">
        <v>0.3</v>
      </c>
      <c r="C3" s="2">
        <v>10.0</v>
      </c>
      <c r="D3" s="2">
        <v>19.217</v>
      </c>
      <c r="E3">
        <f t="shared" si="1"/>
        <v>1.9217</v>
      </c>
      <c r="F3" s="3">
        <f t="shared" si="2"/>
        <v>3.2071</v>
      </c>
      <c r="G3">
        <f t="shared" si="3"/>
        <v>0.11024</v>
      </c>
    </row>
    <row r="4">
      <c r="A4" s="2">
        <v>3.0</v>
      </c>
      <c r="B4" s="2">
        <v>0.4</v>
      </c>
      <c r="C4" s="2">
        <v>10.0</v>
      </c>
      <c r="D4" s="2">
        <v>18.998</v>
      </c>
      <c r="E4">
        <f t="shared" si="1"/>
        <v>1.8998</v>
      </c>
      <c r="F4" s="3">
        <f t="shared" si="2"/>
        <v>4.3753</v>
      </c>
      <c r="G4">
        <f t="shared" si="3"/>
        <v>0.11399</v>
      </c>
    </row>
    <row r="5">
      <c r="A5" s="2">
        <v>4.0</v>
      </c>
      <c r="B5" s="2">
        <v>0.5</v>
      </c>
      <c r="C5" s="2">
        <v>10.0</v>
      </c>
      <c r="D5" s="2">
        <v>18.907</v>
      </c>
      <c r="E5">
        <f t="shared" si="1"/>
        <v>1.8907</v>
      </c>
      <c r="F5" s="3">
        <f t="shared" si="2"/>
        <v>5.5218</v>
      </c>
      <c r="G5">
        <f t="shared" si="3"/>
        <v>0.11628</v>
      </c>
    </row>
    <row r="6">
      <c r="A6" s="2">
        <v>5.0</v>
      </c>
      <c r="B6" s="2">
        <v>0.6</v>
      </c>
      <c r="C6" s="2">
        <v>10.0</v>
      </c>
      <c r="D6" s="2">
        <v>18.92</v>
      </c>
      <c r="E6">
        <f t="shared" si="1"/>
        <v>1.892</v>
      </c>
      <c r="F6" s="3">
        <f t="shared" si="2"/>
        <v>6.6171</v>
      </c>
      <c r="G6">
        <f t="shared" si="3"/>
        <v>0.11728</v>
      </c>
    </row>
    <row r="7">
      <c r="A7" s="2">
        <v>6.0</v>
      </c>
      <c r="B7" s="2">
        <v>0.7</v>
      </c>
      <c r="C7" s="2">
        <v>10.0</v>
      </c>
      <c r="D7" s="2">
        <v>19.037</v>
      </c>
      <c r="E7">
        <f t="shared" si="1"/>
        <v>1.9037</v>
      </c>
      <c r="F7" s="3">
        <f t="shared" si="2"/>
        <v>7.6254</v>
      </c>
      <c r="G7">
        <f t="shared" si="3"/>
        <v>0.11695</v>
      </c>
    </row>
    <row r="8">
      <c r="E8" s="1" t="s">
        <v>6</v>
      </c>
      <c r="F8" s="4">
        <f>AVERAGE(F2:F7)</f>
        <v>4.9004</v>
      </c>
    </row>
    <row r="10">
      <c r="F10" s="4"/>
    </row>
    <row r="15">
      <c r="D15" s="5">
        <f>0.10488+0.11024+0.11399+0.11628+0.11728+0.116956</f>
        <v>0.679626</v>
      </c>
    </row>
  </sheetData>
  <conditionalFormatting sqref="F2:F7">
    <cfRule type="notContainsBlanks" dxfId="0" priority="1">
      <formula>LEN(TRIM(F2))&gt;0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.14"/>
    <col customWidth="1" min="2" max="2" width="15.14"/>
    <col customWidth="1" min="3" max="3" width="13.86"/>
    <col customWidth="1" min="4" max="4" width="13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>
        <v>0.5</v>
      </c>
      <c r="C2" s="2">
        <v>10.0</v>
      </c>
      <c r="D2" s="2">
        <v>14.56</v>
      </c>
      <c r="E2">
        <f t="shared" ref="E2:E9" si="1">D2/C2</f>
        <v>1.456</v>
      </c>
      <c r="F2" s="3">
        <f t="shared" ref="F2:F9" si="2">ROUND((4*pow(PI(),2)*B2)/pow(E2,2),4)</f>
        <v>9.3112</v>
      </c>
      <c r="G2">
        <f t="shared" ref="G2:G9" si="3">ROUND((0.01/B2+(2*0.001)/E2)*F2,5)</f>
        <v>0.19901</v>
      </c>
    </row>
    <row r="3">
      <c r="A3" s="2">
        <v>2.0</v>
      </c>
      <c r="B3" s="2">
        <v>0.46</v>
      </c>
      <c r="C3" s="2">
        <v>10.0</v>
      </c>
      <c r="D3" s="2">
        <v>13.64</v>
      </c>
      <c r="E3">
        <f t="shared" si="1"/>
        <v>1.364</v>
      </c>
      <c r="F3" s="3">
        <f t="shared" si="2"/>
        <v>9.7609</v>
      </c>
      <c r="G3">
        <f t="shared" si="3"/>
        <v>0.22651</v>
      </c>
    </row>
    <row r="4">
      <c r="A4" s="2">
        <v>3.0</v>
      </c>
      <c r="B4" s="2">
        <v>0.4</v>
      </c>
      <c r="C4" s="2">
        <v>10.0</v>
      </c>
      <c r="D4" s="2">
        <v>12.727</v>
      </c>
      <c r="E4">
        <f t="shared" si="1"/>
        <v>1.2727</v>
      </c>
      <c r="F4" s="3">
        <f t="shared" si="2"/>
        <v>9.7492</v>
      </c>
      <c r="G4">
        <f t="shared" si="3"/>
        <v>0.25905</v>
      </c>
    </row>
    <row r="5">
      <c r="A5" s="2">
        <v>4.0</v>
      </c>
      <c r="B5" s="2">
        <v>0.38</v>
      </c>
      <c r="C5" s="2">
        <v>10.0</v>
      </c>
      <c r="D5" s="2">
        <v>12.668</v>
      </c>
      <c r="E5">
        <f t="shared" si="1"/>
        <v>1.2668</v>
      </c>
      <c r="F5" s="3">
        <f t="shared" si="2"/>
        <v>9.3482</v>
      </c>
      <c r="G5">
        <f t="shared" si="3"/>
        <v>0.26076</v>
      </c>
    </row>
    <row r="6">
      <c r="A6" s="2">
        <v>5.0</v>
      </c>
      <c r="B6" s="2">
        <v>0.37</v>
      </c>
      <c r="C6" s="2">
        <v>10.0</v>
      </c>
      <c r="D6" s="2">
        <v>12.198</v>
      </c>
      <c r="E6">
        <f t="shared" si="1"/>
        <v>1.2198</v>
      </c>
      <c r="F6" s="3">
        <f t="shared" si="2"/>
        <v>9.8171</v>
      </c>
      <c r="G6">
        <f t="shared" si="3"/>
        <v>0.28142</v>
      </c>
    </row>
    <row r="7">
      <c r="A7" s="2">
        <v>6.0</v>
      </c>
      <c r="B7" s="2">
        <v>0.36</v>
      </c>
      <c r="C7" s="2">
        <v>10.0</v>
      </c>
      <c r="D7" s="2">
        <v>12.067</v>
      </c>
      <c r="E7">
        <f t="shared" si="1"/>
        <v>1.2067</v>
      </c>
      <c r="F7" s="3">
        <f t="shared" si="2"/>
        <v>9.7603</v>
      </c>
      <c r="G7">
        <f t="shared" si="3"/>
        <v>0.2873</v>
      </c>
    </row>
    <row r="8">
      <c r="A8" s="2">
        <v>7.0</v>
      </c>
      <c r="B8" s="2">
        <v>0.35</v>
      </c>
      <c r="C8" s="2">
        <v>10.0</v>
      </c>
      <c r="D8" s="2">
        <v>11.918</v>
      </c>
      <c r="E8">
        <f t="shared" si="1"/>
        <v>1.1918</v>
      </c>
      <c r="F8" s="3">
        <f t="shared" si="2"/>
        <v>9.7279</v>
      </c>
      <c r="G8">
        <f t="shared" si="3"/>
        <v>0.29426</v>
      </c>
    </row>
    <row r="9">
      <c r="A9" s="2">
        <v>8.0</v>
      </c>
      <c r="B9" s="2">
        <v>0.39</v>
      </c>
      <c r="C9" s="2">
        <v>10.0</v>
      </c>
      <c r="D9" s="2">
        <v>12.525</v>
      </c>
      <c r="E9">
        <f t="shared" si="1"/>
        <v>1.2525</v>
      </c>
      <c r="F9" s="3">
        <f t="shared" si="2"/>
        <v>9.8145</v>
      </c>
      <c r="G9">
        <f t="shared" si="3"/>
        <v>0.26733</v>
      </c>
    </row>
    <row r="10">
      <c r="E10" s="1" t="s">
        <v>7</v>
      </c>
      <c r="F10" s="4">
        <f>AVERAGE(F2:F9)</f>
        <v>9.6611625</v>
      </c>
      <c r="G10">
        <f>SUM(G2:G9)</f>
        <v>2.07564</v>
      </c>
    </row>
    <row r="11">
      <c r="G11">
        <f>G10/8</f>
        <v>0.259455</v>
      </c>
    </row>
    <row r="13">
      <c r="I13" s="2"/>
    </row>
  </sheetData>
  <conditionalFormatting sqref="F2:F9">
    <cfRule type="notContainsBlanks" dxfId="0" priority="1">
      <formula>LEN(TRIM(F2))&gt;0</formula>
    </cfRule>
  </conditionalFormatting>
  <drawing r:id="rId1"/>
</worksheet>
</file>